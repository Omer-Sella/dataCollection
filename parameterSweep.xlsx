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er\rl-qecc-data\"/>
    </mc:Choice>
  </mc:AlternateContent>
  <xr:revisionPtr revIDLastSave="0" documentId="13_ncr:1_{B7599368-1EF1-4D9B-83F7-65092E57D676}" xr6:coauthVersionLast="47" xr6:coauthVersionMax="47" xr10:uidLastSave="{00000000-0000-0000-0000-000000000000}"/>
  <bookViews>
    <workbookView xWindow="-118" yWindow="-118" windowWidth="45269" windowHeight="18367" activeTab="1" xr2:uid="{00000000-000D-0000-FFFF-FFFF00000000}"/>
  </bookViews>
  <sheets>
    <sheet name="Investigation into encoder arch" sheetId="1" r:id="rId1"/>
    <sheet name="allData" sheetId="2" r:id="rId2"/>
    <sheet name="old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4" i="3" l="1"/>
  <c r="V234" i="3"/>
  <c r="W233" i="3"/>
  <c r="V233" i="3"/>
  <c r="W232" i="3"/>
  <c r="V232" i="3"/>
  <c r="W231" i="3"/>
  <c r="V231" i="3"/>
  <c r="W230" i="3"/>
  <c r="V230" i="3"/>
  <c r="W229" i="3"/>
  <c r="V229" i="3"/>
  <c r="W228" i="3"/>
  <c r="V228" i="3"/>
  <c r="W227" i="3"/>
  <c r="V227" i="3"/>
  <c r="W226" i="3"/>
  <c r="V226" i="3"/>
  <c r="W225" i="3"/>
  <c r="V225" i="3"/>
  <c r="W224" i="3"/>
  <c r="V224" i="3"/>
  <c r="W223" i="3"/>
  <c r="V223" i="3"/>
  <c r="W222" i="3"/>
  <c r="V222" i="3"/>
  <c r="W221" i="3"/>
  <c r="V221" i="3"/>
  <c r="W220" i="3"/>
  <c r="V220" i="3"/>
  <c r="W219" i="3"/>
  <c r="V219" i="3"/>
  <c r="W218" i="3"/>
  <c r="V218" i="3"/>
  <c r="W217" i="3"/>
  <c r="V217" i="3"/>
  <c r="W216" i="3"/>
  <c r="V216" i="3"/>
  <c r="W215" i="3"/>
  <c r="V215" i="3"/>
  <c r="W214" i="3"/>
  <c r="V214" i="3"/>
  <c r="W213" i="3"/>
  <c r="V213" i="3"/>
  <c r="W212" i="3"/>
  <c r="V212" i="3"/>
  <c r="W211" i="3"/>
  <c r="V211" i="3"/>
  <c r="W210" i="3"/>
  <c r="V210" i="3"/>
  <c r="W209" i="3"/>
  <c r="V209" i="3"/>
  <c r="W208" i="3"/>
  <c r="V208" i="3"/>
  <c r="W207" i="3"/>
  <c r="V207" i="3"/>
  <c r="W206" i="3"/>
  <c r="V206" i="3"/>
  <c r="W205" i="3"/>
  <c r="V205" i="3"/>
  <c r="W204" i="3"/>
  <c r="V204" i="3"/>
  <c r="W203" i="3"/>
  <c r="V203" i="3"/>
  <c r="W202" i="3"/>
  <c r="V202" i="3"/>
  <c r="W201" i="3"/>
  <c r="V201" i="3"/>
  <c r="W200" i="3"/>
  <c r="V200" i="3"/>
  <c r="W199" i="3"/>
  <c r="V199" i="3"/>
  <c r="W198" i="3"/>
  <c r="V198" i="3"/>
  <c r="W197" i="3"/>
  <c r="V197" i="3"/>
  <c r="W196" i="3"/>
  <c r="V196" i="3"/>
  <c r="W195" i="3"/>
  <c r="V195" i="3"/>
  <c r="W194" i="3"/>
  <c r="V194" i="3"/>
  <c r="W193" i="3"/>
  <c r="V193" i="3"/>
  <c r="W192" i="3"/>
  <c r="V192" i="3"/>
  <c r="W191" i="3"/>
  <c r="V191" i="3"/>
  <c r="W190" i="3"/>
  <c r="V190" i="3"/>
  <c r="W189" i="3"/>
  <c r="V189" i="3"/>
  <c r="W188" i="3"/>
  <c r="V188" i="3"/>
  <c r="W187" i="3"/>
  <c r="V187" i="3"/>
  <c r="W186" i="3"/>
  <c r="V186" i="3"/>
  <c r="W185" i="3"/>
  <c r="V185" i="3"/>
  <c r="W184" i="3"/>
  <c r="V184" i="3"/>
  <c r="W183" i="3"/>
  <c r="V183" i="3"/>
  <c r="W182" i="3"/>
  <c r="V182" i="3"/>
  <c r="W181" i="3"/>
  <c r="V181" i="3"/>
  <c r="W180" i="3"/>
  <c r="V180" i="3"/>
  <c r="W179" i="3"/>
  <c r="V179" i="3"/>
  <c r="W178" i="3"/>
  <c r="V178" i="3"/>
  <c r="W177" i="3"/>
  <c r="V177" i="3"/>
  <c r="W176" i="3"/>
  <c r="V176" i="3"/>
  <c r="W175" i="3"/>
  <c r="V175" i="3"/>
  <c r="W174" i="3"/>
  <c r="V174" i="3"/>
  <c r="W173" i="3"/>
  <c r="V173" i="3"/>
  <c r="W172" i="3"/>
  <c r="V172" i="3"/>
  <c r="W171" i="3"/>
  <c r="V171" i="3"/>
  <c r="W170" i="3"/>
  <c r="V170" i="3"/>
  <c r="W169" i="3"/>
  <c r="V169" i="3"/>
  <c r="W168" i="3"/>
  <c r="V168" i="3"/>
  <c r="W167" i="3"/>
  <c r="V167" i="3"/>
  <c r="W166" i="3"/>
  <c r="V166" i="3"/>
  <c r="W165" i="3"/>
  <c r="V165" i="3"/>
  <c r="W164" i="3"/>
  <c r="V164" i="3"/>
  <c r="W163" i="3"/>
  <c r="V163" i="3"/>
  <c r="W162" i="3"/>
  <c r="V162" i="3"/>
  <c r="W161" i="3"/>
  <c r="V161" i="3"/>
  <c r="W160" i="3"/>
  <c r="V160" i="3"/>
  <c r="W159" i="3"/>
  <c r="V159" i="3"/>
  <c r="W158" i="3"/>
  <c r="V158" i="3"/>
  <c r="W157" i="3"/>
  <c r="V157" i="3"/>
  <c r="W156" i="3"/>
  <c r="V156" i="3"/>
  <c r="W155" i="3"/>
  <c r="V155" i="3"/>
  <c r="W154" i="3"/>
  <c r="V154" i="3"/>
  <c r="W153" i="3"/>
  <c r="V153" i="3"/>
  <c r="W152" i="3"/>
  <c r="V152" i="3"/>
  <c r="W151" i="3"/>
  <c r="V151" i="3"/>
  <c r="W150" i="3"/>
  <c r="V150" i="3"/>
  <c r="W149" i="3"/>
  <c r="V149" i="3"/>
  <c r="W148" i="3"/>
  <c r="V148" i="3"/>
  <c r="W147" i="3"/>
  <c r="V147" i="3"/>
  <c r="W146" i="3"/>
  <c r="V146" i="3"/>
  <c r="W145" i="3"/>
  <c r="V145" i="3"/>
  <c r="W144" i="3"/>
  <c r="V144" i="3"/>
  <c r="W143" i="3"/>
  <c r="V143" i="3"/>
  <c r="W142" i="3"/>
  <c r="V142" i="3"/>
  <c r="W141" i="3"/>
  <c r="V141" i="3"/>
  <c r="W140" i="3"/>
  <c r="V140" i="3"/>
  <c r="W139" i="3"/>
  <c r="V139" i="3"/>
  <c r="W138" i="3"/>
  <c r="V138" i="3"/>
  <c r="W137" i="3"/>
  <c r="V137" i="3"/>
  <c r="W136" i="3"/>
  <c r="V136" i="3"/>
  <c r="W135" i="3"/>
  <c r="V135" i="3"/>
  <c r="W134" i="3"/>
  <c r="V134" i="3"/>
  <c r="W133" i="3"/>
  <c r="V133" i="3"/>
  <c r="W132" i="3"/>
  <c r="V132" i="3"/>
  <c r="W131" i="3"/>
  <c r="V131" i="3"/>
  <c r="W130" i="3"/>
  <c r="V130" i="3"/>
  <c r="W129" i="3"/>
  <c r="V129" i="3"/>
  <c r="W128" i="3"/>
  <c r="V128" i="3"/>
  <c r="W127" i="3"/>
  <c r="V127" i="3"/>
  <c r="W126" i="3"/>
  <c r="V126" i="3"/>
  <c r="W125" i="3"/>
  <c r="V125" i="3"/>
  <c r="W124" i="3"/>
  <c r="V124" i="3"/>
  <c r="W123" i="3"/>
  <c r="V123" i="3"/>
  <c r="W122" i="3"/>
  <c r="V122" i="3"/>
  <c r="W121" i="3"/>
  <c r="V121" i="3"/>
  <c r="W120" i="3"/>
  <c r="V120" i="3"/>
  <c r="W119" i="3"/>
  <c r="V119" i="3"/>
  <c r="W118" i="3"/>
  <c r="V118" i="3"/>
  <c r="W117" i="3"/>
  <c r="V117" i="3"/>
  <c r="W116" i="3"/>
  <c r="V116" i="3"/>
  <c r="W115" i="3"/>
  <c r="V115" i="3"/>
  <c r="W114" i="3"/>
  <c r="V114" i="3"/>
  <c r="W113" i="3"/>
  <c r="V113" i="3"/>
  <c r="W112" i="3"/>
  <c r="V112" i="3"/>
  <c r="W111" i="3"/>
  <c r="V111" i="3"/>
  <c r="W110" i="3"/>
  <c r="V110" i="3"/>
  <c r="W109" i="3"/>
  <c r="V109" i="3"/>
  <c r="W108" i="3"/>
  <c r="V108" i="3"/>
  <c r="W107" i="3"/>
  <c r="V107" i="3"/>
  <c r="W106" i="3"/>
  <c r="V106" i="3"/>
  <c r="W105" i="3"/>
  <c r="V105" i="3"/>
  <c r="W104" i="3"/>
  <c r="V104" i="3"/>
  <c r="W103" i="3"/>
  <c r="V103" i="3"/>
  <c r="W102" i="3"/>
  <c r="V102" i="3"/>
  <c r="W101" i="3"/>
  <c r="V101" i="3"/>
  <c r="W100" i="3"/>
  <c r="V100" i="3"/>
  <c r="W99" i="3"/>
  <c r="V99" i="3"/>
  <c r="W98" i="3"/>
  <c r="V98" i="3"/>
  <c r="W97" i="3"/>
  <c r="V97" i="3"/>
  <c r="W96" i="3"/>
  <c r="V96" i="3"/>
  <c r="W95" i="3"/>
  <c r="V95" i="3"/>
  <c r="W94" i="3"/>
  <c r="V94" i="3"/>
  <c r="W93" i="3"/>
  <c r="V93" i="3"/>
  <c r="W92" i="3"/>
  <c r="V92" i="3"/>
  <c r="W91" i="3"/>
  <c r="V91" i="3"/>
  <c r="W90" i="3"/>
  <c r="V90" i="3"/>
  <c r="W89" i="3"/>
  <c r="V89" i="3"/>
  <c r="W88" i="3"/>
  <c r="V88" i="3"/>
  <c r="W87" i="3"/>
  <c r="V87" i="3"/>
  <c r="W86" i="3"/>
  <c r="V86" i="3"/>
  <c r="W85" i="3"/>
  <c r="V85" i="3"/>
  <c r="W84" i="3"/>
  <c r="V84" i="3"/>
  <c r="W83" i="3"/>
  <c r="V83" i="3"/>
  <c r="W82" i="3"/>
  <c r="V82" i="3"/>
  <c r="W81" i="3"/>
  <c r="V81" i="3"/>
  <c r="W80" i="3"/>
  <c r="V80" i="3"/>
  <c r="W79" i="3"/>
  <c r="V79" i="3"/>
  <c r="W78" i="3"/>
  <c r="V78" i="3"/>
  <c r="W77" i="3"/>
  <c r="V77" i="3"/>
  <c r="W76" i="3"/>
  <c r="V76" i="3"/>
  <c r="W75" i="3"/>
  <c r="V75" i="3"/>
  <c r="W74" i="3"/>
  <c r="V74" i="3"/>
  <c r="W73" i="3"/>
  <c r="V73" i="3"/>
  <c r="W72" i="3"/>
  <c r="V72" i="3"/>
  <c r="W71" i="3"/>
  <c r="V71" i="3"/>
  <c r="W70" i="3"/>
  <c r="V70" i="3"/>
  <c r="W69" i="3"/>
  <c r="V69" i="3"/>
  <c r="W68" i="3"/>
  <c r="V68" i="3"/>
  <c r="W67" i="3"/>
  <c r="V67" i="3"/>
  <c r="W66" i="3"/>
  <c r="V66" i="3"/>
  <c r="W65" i="3"/>
  <c r="V65" i="3"/>
  <c r="W64" i="3"/>
  <c r="V64" i="3"/>
  <c r="W63" i="3"/>
  <c r="V63" i="3"/>
  <c r="W62" i="3"/>
  <c r="V62" i="3"/>
  <c r="W61" i="3"/>
  <c r="V61" i="3"/>
  <c r="W60" i="3"/>
  <c r="V60" i="3"/>
  <c r="W59" i="3"/>
  <c r="V59" i="3"/>
  <c r="W58" i="3"/>
  <c r="V58" i="3"/>
  <c r="W57" i="3"/>
  <c r="V57" i="3"/>
  <c r="W56" i="3"/>
  <c r="V56" i="3"/>
  <c r="W55" i="3"/>
  <c r="V55" i="3"/>
  <c r="W54" i="3"/>
  <c r="V54" i="3"/>
  <c r="W53" i="3"/>
  <c r="V53" i="3"/>
  <c r="W52" i="3"/>
  <c r="V52" i="3"/>
  <c r="W51" i="3"/>
  <c r="V51" i="3"/>
  <c r="W50" i="3"/>
  <c r="V50" i="3"/>
  <c r="W49" i="3"/>
  <c r="V49" i="3"/>
  <c r="W48" i="3"/>
  <c r="V48" i="3"/>
  <c r="W47" i="3"/>
  <c r="V47" i="3"/>
  <c r="W46" i="3"/>
  <c r="V46" i="3"/>
  <c r="W45" i="3"/>
  <c r="V45" i="3"/>
  <c r="W44" i="3"/>
  <c r="V44" i="3"/>
  <c r="W43" i="3"/>
  <c r="V43" i="3"/>
  <c r="W42" i="3"/>
  <c r="V42" i="3"/>
  <c r="W41" i="3"/>
  <c r="V41" i="3"/>
  <c r="W40" i="3"/>
  <c r="V40" i="3"/>
  <c r="W39" i="3"/>
  <c r="V39" i="3"/>
  <c r="W38" i="3"/>
  <c r="V38" i="3"/>
  <c r="W37" i="3"/>
  <c r="V37" i="3"/>
  <c r="W36" i="3"/>
  <c r="V36" i="3"/>
  <c r="W35" i="3"/>
  <c r="V35" i="3"/>
  <c r="W34" i="3"/>
  <c r="V34" i="3"/>
  <c r="W33" i="3"/>
  <c r="V33" i="3"/>
  <c r="W32" i="3"/>
  <c r="V32" i="3"/>
  <c r="W31" i="3"/>
  <c r="V31" i="3"/>
  <c r="W30" i="3"/>
  <c r="V30" i="3"/>
  <c r="W29" i="3"/>
  <c r="V29" i="3"/>
  <c r="W28" i="3"/>
  <c r="V28" i="3"/>
  <c r="W27" i="3"/>
  <c r="V27" i="3"/>
  <c r="W26" i="3"/>
  <c r="V26" i="3"/>
  <c r="W25" i="3"/>
  <c r="V25" i="3"/>
  <c r="W24" i="3"/>
  <c r="V24" i="3"/>
  <c r="W23" i="3"/>
  <c r="V23" i="3"/>
  <c r="W22" i="3"/>
  <c r="V22" i="3"/>
  <c r="W21" i="3"/>
  <c r="V21" i="3"/>
  <c r="W20" i="3"/>
  <c r="V20" i="3"/>
  <c r="W19" i="3"/>
  <c r="V19" i="3"/>
  <c r="W18" i="3"/>
  <c r="V18" i="3"/>
  <c r="W17" i="3"/>
  <c r="V17" i="3"/>
  <c r="W16" i="3"/>
  <c r="V16" i="3"/>
  <c r="W15" i="3"/>
  <c r="V15" i="3"/>
  <c r="W14" i="3"/>
  <c r="V14" i="3"/>
  <c r="W13" i="3"/>
  <c r="V13" i="3"/>
  <c r="W12" i="3"/>
  <c r="V12" i="3"/>
  <c r="W11" i="3"/>
  <c r="V11" i="3"/>
  <c r="W10" i="3"/>
  <c r="V10" i="3"/>
  <c r="W9" i="3"/>
  <c r="V9" i="3"/>
  <c r="W8" i="3"/>
  <c r="V8" i="3"/>
  <c r="W7" i="3"/>
  <c r="V7" i="3"/>
  <c r="W6" i="3"/>
  <c r="V6" i="3"/>
  <c r="W5" i="3"/>
  <c r="V5" i="3"/>
  <c r="W4" i="3"/>
  <c r="V4" i="3"/>
  <c r="W3" i="3"/>
  <c r="V3" i="3"/>
  <c r="W2" i="3"/>
  <c r="V2" i="3"/>
  <c r="W28" i="1"/>
  <c r="V28" i="1"/>
</calcChain>
</file>

<file path=xl/sharedStrings.xml><?xml version="1.0" encoding="utf-8"?>
<sst xmlns="http://schemas.openxmlformats.org/spreadsheetml/2006/main" count="1427" uniqueCount="286">
  <si>
    <t>Job name / folder name</t>
  </si>
  <si>
    <t>Seed</t>
  </si>
  <si>
    <t>Code</t>
  </si>
  <si>
    <t>Number of qubits</t>
  </si>
  <si>
    <t>Network architecture</t>
  </si>
  <si>
    <t>Use pretrained encoder</t>
  </si>
  <si>
    <t>Encoder lr factor</t>
  </si>
  <si>
    <t>Freeze until ?</t>
  </si>
  <si>
    <t>Encoder</t>
  </si>
  <si>
    <t>Entropy eps</t>
  </si>
  <si>
    <t>Running / processed</t>
  </si>
  <si>
    <t>Is good ?</t>
  </si>
  <si>
    <t>Comments</t>
  </si>
  <si>
    <t>Link to Plot</t>
  </si>
  <si>
    <t>Link to Data</t>
  </si>
  <si>
    <t>c:/users/omer/rl-qecc-data/2026-07-09_16-51-56</t>
  </si>
  <si>
    <t>No</t>
  </si>
  <si>
    <t>Done</t>
  </si>
  <si>
    <t>c:/users/omer/rl-qecc-data/2026-07-10_10-13-17</t>
  </si>
  <si>
    <t>c:/users/omer/rl-qecc-data/2026-07-10_10-20-26</t>
  </si>
  <si>
    <t>c:/users/omer/rl-qecc-data/2026-07-10_10-22-11</t>
  </si>
  <si>
    <t>c:/users/omer/rl-qecc-data/2026-07-11_11-34-52</t>
  </si>
  <si>
    <t>6,6</t>
  </si>
  <si>
    <t>c:/users/omer/rl-qecc-data/2026-07-11_13-03-32</t>
  </si>
  <si>
    <t>12,6</t>
  </si>
  <si>
    <t>c:/users/omer/rl-qecc-data/2026-07-13_17-13-15</t>
  </si>
  <si>
    <t>hybrid</t>
  </si>
  <si>
    <t>Yes</t>
  </si>
  <si>
    <t>2026-07-12_20-18-32/surrogate_6x6.pth</t>
  </si>
  <si>
    <t>c:/users/omer/rl-qecc-data/2026-07-13_17-13-58</t>
  </si>
  <si>
    <t>c:/users/omer/rl-qecc-data/2026-07-13_19-41-04</t>
  </si>
  <si>
    <t>c:/users/omer/rl-qecc-data/2026-07-13_19-41-37</t>
  </si>
  <si>
    <t>c:/users/omer/rl-qecc-data/2026-07-13_19-43-03</t>
  </si>
  <si>
    <t>c:/users/omer/rl-qecc-data/2026-07-13_19-43-41</t>
  </si>
  <si>
    <t>c:/users/omer/rl-qecc-data/2026-07-13_22-57-08</t>
  </si>
  <si>
    <t>c:/users/omer/rl-qecc-data/2026-07-14_21-41-33</t>
  </si>
  <si>
    <t>9,6</t>
  </si>
  <si>
    <t>c:/users/omer/rl-qecc-data/2026-07-14_21-42-45</t>
  </si>
  <si>
    <t>c:/users/omer/rl-qecc-data/2026-07-14_21-42-52</t>
  </si>
  <si>
    <t>c:/users/omer/rl-qecc-data/2026-07-14_21-58-14</t>
  </si>
  <si>
    <t>c:/users/omer/rl-qecc-data/2026-07-14_22-01-03</t>
  </si>
  <si>
    <t>c:/users/omer/rl-qecc-data/2026-07-14_23-23-00</t>
  </si>
  <si>
    <t>2026-07-12_21-15-58/surrogate_6x6.pth</t>
  </si>
  <si>
    <t>c:/users/omer/rl-qecc-data/2026-07-15_06-24-42</t>
  </si>
  <si>
    <t>c:/users/omer/rl-qecc-data/2026-07-15_07-12-39</t>
  </si>
  <si>
    <t>c:/users/omer/rl-qecc-data/2026-07-15_13-49-55</t>
  </si>
  <si>
    <t>c:/users/omer/rl-qecc-data/2026-07-15_14-55-03_3158085</t>
  </si>
  <si>
    <t>2026-07-12_10-56-04/surrogate_6x6.pth</t>
  </si>
  <si>
    <t>c:/users/omer/rl-qecc-data/2026-07-15_15-19-50_184940</t>
  </si>
  <si>
    <t>c:/users/omer/rl-qecc-data/2026-07-15_15-53-06_3953074</t>
  </si>
  <si>
    <t>c:/users/omer/rl-qecc-data/2026-07-15_20-20-03_3795808</t>
  </si>
  <si>
    <t>15,3</t>
  </si>
  <si>
    <t>c:/users/omer/rl-qecc-data/2026-07-15_22-42-29_3273591</t>
  </si>
  <si>
    <t>c:/users/omer/rl-qecc-data/2026-07-15_23-52-37_217901</t>
  </si>
  <si>
    <t>c:/users/omer/rl-qecc-data/2026-07-16_00-29-11_3987924</t>
  </si>
  <si>
    <t>c:/users/omer/rl-qecc-data/2026-07-16_04-37-43_3843084</t>
  </si>
  <si>
    <t>c:/users/omer/rl-qecc-data/2026-07-16_07-19-26_3308483</t>
  </si>
  <si>
    <t>c:/users/omer/rl-qecc-data/2026-07-16_08-19-58_252676</t>
  </si>
  <si>
    <t>c:/users/omer/rl-qecc-data/2026-07-16_09-14-26_4022547</t>
  </si>
  <si>
    <t>c:/users/omer/rl-qecc-data/2026-07-16_17-17-14_3346485</t>
  </si>
  <si>
    <t>c:/users/omer/rl-qecc-data/2026-07-16_17-31-22_288767</t>
  </si>
  <si>
    <t>c:/users/omer/rl-qecc-data/2026-07-16_18-30-47_4059110</t>
  </si>
  <si>
    <t>c:/users/omer/rl-qecc-data/2026-07-22_14-57-19_253968</t>
  </si>
  <si>
    <t>c:/users/omer/rl-qecc-data/2026-07-22_14-57-19_681200</t>
  </si>
  <si>
    <t>c:/users/omer/rl-qecc-data/2026-07-22_19-18-43_3744902</t>
  </si>
  <si>
    <t>c:/users/omer/rl-qecc-data/2026-07-22_19-18-43_3745017</t>
  </si>
  <si>
    <t>c:/users/omer/rl-qecc-data/2026-07-22_19-18-43_3745112</t>
  </si>
  <si>
    <t>c:/users/omer/rl-qecc-data/2026-07-22_20-18-47_276717</t>
  </si>
  <si>
    <t>c:/users/omer/rl-qecc-data/2026-07-22_20-18-47_276848</t>
  </si>
  <si>
    <t>c:/users/omer/rl-qecc-data/2026-07-22_20-18-47_276927</t>
  </si>
  <si>
    <t>c:/users/omer/rl-qecc-data/2026-07-22_20-21-11_704765</t>
  </si>
  <si>
    <t>c:/users/omer/rl-qecc-data/2026-07-22_20-21-11_704843</t>
  </si>
  <si>
    <t>c:/users/omer/rl-qecc-data/2026-07-23_02-39-30_730126</t>
  </si>
  <si>
    <t>c:/users/omer/rl-qecc-data/2026-07-23_02-43-47_3614886</t>
  </si>
  <si>
    <t>c:/users/omer/rl-qecc-data/2026-07-23_02-43-47_3615829</t>
  </si>
  <si>
    <t>c:/users/omer/rl-qecc-data/2026-07-23_03-19-24_733258</t>
  </si>
  <si>
    <t>c:/users/omer/rl-qecc-data/2026-07-23_03-21-47_3619889</t>
  </si>
  <si>
    <t>c:/users/omer/rl-qecc-data/2026-07-23_03-23-05_734201</t>
  </si>
  <si>
    <t>c:/users/omer/rl-qecc-data/2026-07-23_03-59-00_3777928</t>
  </si>
  <si>
    <t>c:/users/omer/rl-qecc-data/2026-07-23_03-59-00_3778025</t>
  </si>
  <si>
    <t>c:/users/omer/rl-qecc-data/2026-07-23_09-49-04_3803742</t>
  </si>
  <si>
    <t>c:/users/omer/rl-qecc-data/2026-07-23_09-49-33_3645399</t>
  </si>
  <si>
    <t>c:/users/omer/rl-qecc-data/2026-07-23_09-50-08_760381</t>
  </si>
  <si>
    <t>c:/users/omer/rl-qecc-data/2026-07-23_10-21-26_3648285</t>
  </si>
  <si>
    <t>c:/users/omer/rl-qecc-data/2026-07-23_10-26-58_324404</t>
  </si>
  <si>
    <t>c:/users/omer/rl-qecc-data/2026-07-23_10-30-48_3649405</t>
  </si>
  <si>
    <t>c:/users/omer/rl-qecc-data/2026-07-23_10-35-04_763592</t>
  </si>
  <si>
    <t>c:/users/omer/rl-qecc-data/2026-07-23_11-04-08_766658</t>
  </si>
  <si>
    <t>c:/users/omer/rl-qecc-data/2026-07-23_16-32-07_351545</t>
  </si>
  <si>
    <t>c:/users/omer/rl-qecc-data/2026-07-24_01-19-19_159224</t>
  </si>
  <si>
    <t>21,18</t>
  </si>
  <si>
    <t>grounding/mixed66-96_seed1.pth</t>
  </si>
  <si>
    <t>c:/users/omer/rl-qecc-data/2026-07-24_01-45-23_388972</t>
  </si>
  <si>
    <t>c:/users/omer/rl-qecc-data/2026-07-24_01-45-23_389109</t>
  </si>
  <si>
    <t>c:/users/omer/rl-qecc-data/2026-07-24_01-45-35_826931</t>
  </si>
  <si>
    <t>c:/users/omer/rl-qecc-data/2026-07-24_01-45-35_827526</t>
  </si>
  <si>
    <t>c:/users/omer/rl-qecc-data/2026-07-24_01-46-10_390244</t>
  </si>
  <si>
    <t>c:/users/omer/rl-qecc-data/2026-07-24_01-47-04_828303</t>
  </si>
  <si>
    <t>c:/users/omer/rl-qecc-data/2026-07-24_01-50-25_3700228</t>
  </si>
  <si>
    <t>c:/users/omer/rl-qecc-data/2026-07-24_01-50-25_3700306</t>
  </si>
  <si>
    <t>c:/users/omer/rl-qecc-data/2026-07-24_08-06-30_415513</t>
  </si>
  <si>
    <t>c:/users/omer/rl-qecc-data/2026-07-24_08-12-37_854157</t>
  </si>
  <si>
    <t>c:/users/omer/rl-qecc-data/2026-07-24_08-17-36_3882751</t>
  </si>
  <si>
    <t>c:/users/omer/rl-qecc-data/2026-07-24_08-18-49_855414</t>
  </si>
  <si>
    <t>c:/users/omer/rl-qecc-data/2026-07-24_08-32-31_418941</t>
  </si>
  <si>
    <t>c:/users/omer/rl-qecc-data/2026-07-24_08-35-37_856813</t>
  </si>
  <si>
    <t>c:/users/omer/rl-qecc-data/2026-07-24_08-41-36_3884575</t>
  </si>
  <si>
    <t>c:/users/omer/rl-qecc-data/2026-07-24_08-47-54_420595</t>
  </si>
  <si>
    <t>c:/users/omer/rl-qecc-data/2026-07-24_15-07-14_445735</t>
  </si>
  <si>
    <t>c:/users/omer/rl-qecc-data/2026-07-24_15-25-33_3911366</t>
  </si>
  <si>
    <t>c:/users/omer/rl-qecc-data/2026-07-24_15-26-23_3912066</t>
  </si>
  <si>
    <t>c:/users/omer/rl-qecc-data/2026-07-24_15-28-53_885563</t>
  </si>
  <si>
    <t>c:/users/omer/rl-qecc-data/2026-07-24_15-30-55_886418</t>
  </si>
  <si>
    <t>c:/users/omer/rl-qecc-data/2026-07-24_15-41-11_448860</t>
  </si>
  <si>
    <t>c:/users/omer/rl-qecc-data/2026-07-24_15-53-48_3915772</t>
  </si>
  <si>
    <t>c:/users/omer/rl-qecc-data/2026-07-27_21-48-42_1172807</t>
  </si>
  <si>
    <t>c:/users/omer/rl-qecc-data/2026-07-27_21-48-42_1172833</t>
  </si>
  <si>
    <t>c:/users/omer/rl-qecc-data/2026-07-27_21-48-42_1172859</t>
  </si>
  <si>
    <t>c:/users/omer/rl-qecc-data/2026-07-27_21-48-44_1172885</t>
  </si>
  <si>
    <t>c:/users/omer/rl-qecc-data/2026-07-27_21-48-47_1172914</t>
  </si>
  <si>
    <t>c:/users/omer/rl-qecc-data/2026-07-27_21-48-51_1172941</t>
  </si>
  <si>
    <t>c:/users/omer/rl-qecc-data/2026-07-27_21-48-54_1173000</t>
  </si>
  <si>
    <t>c:/users/omer/rl-qecc-data/2026-07-27_21-48-56_1173035</t>
  </si>
  <si>
    <t>c:/users/omer/rl-qecc-data/2026-07-27_21-48-59_1173071</t>
  </si>
  <si>
    <t>c:/users/omer/rl-qecc-data/2026-07-27_21-49-02_1173109</t>
  </si>
  <si>
    <t>c:/users/omer/rl-qecc-data/2026-07-27_21-49-05_1173144</t>
  </si>
  <si>
    <t>c:/users/omer/rl-qecc-data/2026-07-27_21-49-09_1173179</t>
  </si>
  <si>
    <t>c:/users/omer/rl-qecc-data/2026-07-27_21-50-10_734813</t>
  </si>
  <si>
    <t>c:/users/omer/rl-qecc-data/2026-07-27_21-50-10_734850</t>
  </si>
  <si>
    <t>c:/users/omer/rl-qecc-data/2026-07-27_21-50-10_734883</t>
  </si>
  <si>
    <t>c:/users/omer/rl-qecc-data/2026-07-27_21-50-13_734914</t>
  </si>
  <si>
    <t>c:/users/omer/rl-qecc-data/2026-07-27_21-50-16_734943</t>
  </si>
  <si>
    <t>c:/users/omer/rl-qecc-data/2026-07-27_21-50-20_734978</t>
  </si>
  <si>
    <t>c:/users/omer/rl-qecc-data/2026-07-27_21-50-23_735045</t>
  </si>
  <si>
    <t>c:/users/omer/rl-qecc-data/2026-07-27_21-50-26_735091</t>
  </si>
  <si>
    <t>c:/users/omer/rl-qecc-data/2026-07-27_21-50-28_735131</t>
  </si>
  <si>
    <t>c:/users/omer/rl-qecc-data/2026-07-27_21-50-32_735172</t>
  </si>
  <si>
    <t>c:/users/omer/rl-qecc-data/2026-07-27_21-50-34_735210</t>
  </si>
  <si>
    <t>c:/users/omer/rl-qecc-data/truncated_matrixA\2026-07-23_16-39-33_352442</t>
  </si>
  <si>
    <t>c:/users/omer/rl-qecc-data/truncated_matrixA\2026-07-23_17-04-44_790643</t>
  </si>
  <si>
    <t>c:/users/omer/rl-qecc-data/truncated_matrixA\2026-07-23_17-06-26_355068</t>
  </si>
  <si>
    <t>c:/users/omer/rl-qecc-data/truncated_matrixA\2026-07-23_17-26-23_3831930</t>
  </si>
  <si>
    <t>c:/users/omer/rl-qecc-data/truncated_matrixA\2026-07-23_17-30-12_792942</t>
  </si>
  <si>
    <t>c:/users/omer/rl-qecc-data/truncated_matrixA\2026-07-23_17-38-01_3833038</t>
  </si>
  <si>
    <t>c:/users/omer/rl-qecc-data/truncated_matrixA\2026-07-23_18-06-16_3835747</t>
  </si>
  <si>
    <t>c:/users/omer/rl-qecc-data/truncated_matrixA\2026-07-23_22-38-48_814037</t>
  </si>
  <si>
    <t>Plot</t>
  </si>
  <si>
    <t>Data</t>
  </si>
  <si>
    <t>C:\Users\Omer\rl-qecc-data\2026-07-15_06-24-42</t>
  </si>
  <si>
    <t>Hybrid</t>
  </si>
  <si>
    <t>C:\Users\Omer\rl-qecc-data\2026-07-14_22-01-03</t>
  </si>
  <si>
    <t>C:\Users\Omer\rl-qecc-data\2026-07-14_21-58-14</t>
  </si>
  <si>
    <t>C:\Users\Omer\rl-qecc-data\2026-07-14_21-41-33</t>
  </si>
  <si>
    <t>C:\Users\Omer\rl-qecc-data\2026-07-14_21-42-45</t>
  </si>
  <si>
    <t>C:\Users\Omer\rl-qecc-data\2026-07-14_21-42-52</t>
  </si>
  <si>
    <t>C:\Users\Omer\rl-qecc-data\2026-07-14_23-23-00</t>
  </si>
  <si>
    <t>C:\Users\Omer\rl-qecc-data\2026-07-15_13-49-55</t>
  </si>
  <si>
    <t>Not great</t>
  </si>
  <si>
    <t>Flat</t>
  </si>
  <si>
    <t>C:\Users\Omer\rl-qecc-data\2026-07-15_15-19-50_184940</t>
  </si>
  <si>
    <t>C:\Users\Omer\rl-qecc-data\2026-07-15_15-53-06_3953074</t>
  </si>
  <si>
    <t>C:\Users\Omer\rl-qecc-data\2026-07-15_07-12-39</t>
  </si>
  <si>
    <t>C:\Users\Omer\rl-qecc-data\2026-07-15_14-55-03_3158085</t>
  </si>
  <si>
    <t>Yes (pretrained)</t>
  </si>
  <si>
    <t>C:\Users\Omer\rl-qecc-data\2026-07-15_20-20-03_3795808</t>
  </si>
  <si>
    <t>C:\Users\Omer\rl-qecc-data\2026-07-15_23-52-37_217901</t>
  </si>
  <si>
    <t>C:\Users\Omer\rl-qecc-data\2026-07-04_21-14-02</t>
  </si>
  <si>
    <t>C:\Users\Omer\rl-qecc-data\2026-07-14_08-27-56</t>
  </si>
  <si>
    <t>c:/users/omer/rl-qecc-data/2026-07-02_13-39-22</t>
  </si>
  <si>
    <t>c:/users/omer/rl-qecc-data/2026-07-02_16-59-51</t>
  </si>
  <si>
    <t>c:/users/omer/rl-qecc-data/2026-07-02_17-00-26</t>
  </si>
  <si>
    <t>c:/users/omer/rl-qecc-data/2026-07-02_20-49-12</t>
  </si>
  <si>
    <t>c:/users/omer/rl-qecc-data/2026-07-02_20-58-54</t>
  </si>
  <si>
    <t>c:/users/omer/rl-qecc-data/2026-07-02_21-50-41</t>
  </si>
  <si>
    <t>c:/users/omer/rl-qecc-data/2026-07-04_21-14-02</t>
  </si>
  <si>
    <t>c:/users/omer/rl-qecc-data/2026-07-04_21-40-29</t>
  </si>
  <si>
    <t>c:/users/omer/rl-qecc-data/2026-07-05_14-27-37</t>
  </si>
  <si>
    <t>c:/users/omer/rl-qecc-data/2026-07-05_14-28-45</t>
  </si>
  <si>
    <t>c:/users/omer/rl-qecc-data/2026-07-05_14-28-48</t>
  </si>
  <si>
    <t>c:/users/omer/rl-qecc-data/2026-07-05_14-29-15</t>
  </si>
  <si>
    <t>c:/users/omer/rl-qecc-data/2026-07-05_14-29-45</t>
  </si>
  <si>
    <t>c:/users/omer/rl-qecc-data/2026-07-07_20-33-48</t>
  </si>
  <si>
    <t>c:/users/omer/rl-qecc-data/2026-07-07_21-40-39</t>
  </si>
  <si>
    <t>c:/users/omer/rl-qecc-data/2026-07-07_23-30-55</t>
  </si>
  <si>
    <t>c:/users/omer/rl-qecc-data/2026-07-07_23-34-18</t>
  </si>
  <si>
    <t>c:/users/omer/rl-qecc-data/2026-07-07_23-44-14</t>
  </si>
  <si>
    <t>c:/users/omer/rl-qecc-data/2026-07-08_19-32-01</t>
  </si>
  <si>
    <t>c:/users/omer/rl-qecc-data/2026-07-08_19-37-16</t>
  </si>
  <si>
    <t>c:/users/omer/rl-qecc-data/2026-07-08_20-03-49</t>
  </si>
  <si>
    <t>c:/users/omer/rl-qecc-data/2026-07-08_20-24-25</t>
  </si>
  <si>
    <t>c:/users/omer/rl-qecc-data/2026-07-08_21-18-49</t>
  </si>
  <si>
    <t>c:/users/omer/rl-qecc-data/2026-07-08_22-18-00</t>
  </si>
  <si>
    <t>c:/users/omer/rl-qecc-data/2026-07-09_08-21-01</t>
  </si>
  <si>
    <t>c:/users/omer/rl-qecc-data/2026-07-09_10-24-36</t>
  </si>
  <si>
    <t>c:/users/omer/rl-qecc-data/2026-07-09_10-47-08</t>
  </si>
  <si>
    <t>c:/users/omer/rl-qecc-data/2026-07-09_12-20-58</t>
  </si>
  <si>
    <t>c:/users/omer/rl-qecc-data/2026-07-09_12-39-52</t>
  </si>
  <si>
    <t>c:/users/omer/rl-qecc-data/2026-07-09_14-00-14</t>
  </si>
  <si>
    <t>c:/users/omer/rl-qecc-data/2026-07-09_14-00-15</t>
  </si>
  <si>
    <t>c:/users/omer/rl-qecc-data/2026-07-09_14-03-47</t>
  </si>
  <si>
    <t>c:/users/omer/rl-qecc-data/2026-07-09_14-07-04</t>
  </si>
  <si>
    <t>c:/users/omer/rl-qecc-data/2026-07-09_14-16-50</t>
  </si>
  <si>
    <t>c:/users/omer/rl-qecc-data/2026-07-09_14-28-52</t>
  </si>
  <si>
    <t>c:/users/omer/rl-qecc-data/2026-07-09_20-35-27</t>
  </si>
  <si>
    <t>c:/users/omer/rl-qecc-data/2026-07-10_10-10-42</t>
  </si>
  <si>
    <t>c:/users/omer/rl-qecc-data/2026-07-11_00-03-44</t>
  </si>
  <si>
    <t>c:/users/omer/rl-qecc-data/2026-07-14_00-57-14</t>
  </si>
  <si>
    <t>c:/users/omer/rl-qecc-data/2026-07-14_01-00-13</t>
  </si>
  <si>
    <t>c:/users/omer/rl-qecc-data/2026-07-23_16-39-33_352442</t>
  </si>
  <si>
    <t>c:/users/omer/rl-qecc-data/2026-07-23_17-04-44_790643</t>
  </si>
  <si>
    <t>c:/users/omer/rl-qecc-data/2026-07-23_17-06-26_355068</t>
  </si>
  <si>
    <t>c:/users/omer/rl-qecc-data/2026-07-23_17-26-23_3831930</t>
  </si>
  <si>
    <t>c:/users/omer/rl-qecc-data/2026-07-23_17-30-12_792942</t>
  </si>
  <si>
    <t>c:/users/omer/rl-qecc-data/2026-07-23_17-38-01_3833038</t>
  </si>
  <si>
    <t>c:/users/omer/rl-qecc-data/2026-07-23_18-06-16_3835747</t>
  </si>
  <si>
    <t>c:/users/omer/rl-qecc-data/2026-07-23_22-38-48_814037</t>
  </si>
  <si>
    <t>c:/users/omer/rl-qecc-data/2026-07-24_19-13-01_3929851</t>
  </si>
  <si>
    <t>c:/users/omer/rl-qecc-data/2026-07-24_19-13-01_467025</t>
  </si>
  <si>
    <t>c:/users/omer/rl-qecc-data/2026-07-24_19-13-01_901712</t>
  </si>
  <si>
    <t>c:/users/omer/rl-qecc-data/2026-07-24_23-45-14_2201297</t>
  </si>
  <si>
    <t>c:/users/omer/rl-qecc-data/2026-07-24_23-45-30_4178960</t>
  </si>
  <si>
    <t>c:/users/omer/rl-qecc-data/2026-07-24_23-46-00_3966205</t>
  </si>
  <si>
    <t>c:/users/omer/rl-qecc-data/2026-07-24_23-47-11_4184388</t>
  </si>
  <si>
    <t>c:/users/omer/rl-qecc-data/2026-07-24_23-47-12_1072256</t>
  </si>
  <si>
    <t>c:/users/omer/rl-qecc-data/2026-07-24_23-48-10_1074248</t>
  </si>
  <si>
    <t>c:/users/omer/rl-qecc-data/2026-07-24_23-49-17_2235803</t>
  </si>
  <si>
    <t>c:/users/omer/rl-qecc-data/2026-07-24_23-49-17_2688</t>
  </si>
  <si>
    <t>c:/users/omer/rl-qecc-data/2026-07-24_23-49-47_1672344</t>
  </si>
  <si>
    <t>c:/users/omer/rl-qecc-data/2026-07-24_23-51-47_2207626</t>
  </si>
  <si>
    <t>c:/users/omer/rl-qecc-data/2026-07-24_23-54-53_1288792</t>
  </si>
  <si>
    <t>c:/users/omer/rl-qecc-data/2026-07-24_23-56-59_1699958</t>
  </si>
  <si>
    <t>c:/users/omer/rl-qecc-data/2026-07-24_23-56-59_1699959</t>
  </si>
  <si>
    <t>c:/users/omer/rl-qecc-data/2026-07-24_23-58-51_4001941</t>
  </si>
  <si>
    <t>c:/users/omer/rl-qecc-data/2026-07-24_23-58-52_1342286</t>
  </si>
  <si>
    <t>c:/users/omer/rl-qecc-data/2026-07-25_00-25-04_3423577</t>
  </si>
  <si>
    <t>c:/users/omer/rl-qecc-data/2026-07-25_00-28-17_1846618</t>
  </si>
  <si>
    <t>c:/users/omer/rl-qecc-data/2026-07-25_00-29-37_1857095</t>
  </si>
  <si>
    <t>c:/users/omer/rl-qecc-data/2026-07-25_00-30-22_1861746</t>
  </si>
  <si>
    <t>c:/users/omer/rl-qecc-data/2026-07-25_01-20-12_1998550</t>
  </si>
  <si>
    <t>c:/users/omer/rl-qecc-data/2026-07-25_01-21-17_391983</t>
  </si>
  <si>
    <t>c:/users/omer/rl-qecc-data/2026-07-25_01-22-18_2842268</t>
  </si>
  <si>
    <t>c:/users/omer/rl-qecc-data/2026-07-25_01-36-23_4040792</t>
  </si>
  <si>
    <t>mlp</t>
  </si>
  <si>
    <t>c:/users/omer/rl-qecc-data/2026-07-25_01-38-33_67307</t>
  </si>
  <si>
    <t>c:/users/omer/rl-qecc-data/2026-07-25_01-38-49_1447335</t>
  </si>
  <si>
    <t>c:/users/omer/rl-qecc-data/2026-07-25_01-42-55_2807283</t>
  </si>
  <si>
    <t>c:/users/omer/rl-qecc-data/2026-07-25_01-48-29_716059</t>
  </si>
  <si>
    <t>c:/users/omer/rl-qecc-data/2026-07-25_01-54-43_807373</t>
  </si>
  <si>
    <t>c:/users/omer/rl-qecc-data/2026-07-25_02-20-11_2818149</t>
  </si>
  <si>
    <t>c:/users/omer/rl-qecc-data/2026-07-25_10-29-46_963285</t>
  </si>
  <si>
    <t>c:/users/omer/rl-qecc-data/2026-07-25_20-43-47_1001371</t>
  </si>
  <si>
    <t>c:/users/omer/rl-qecc-data/2026-07-25_20-43-47_4025676</t>
  </si>
  <si>
    <t>c:/users/omer/rl-qecc-data/2026-07-25_20-43-47_559273</t>
  </si>
  <si>
    <t>c:/users/omer/rl-qecc-data/2026-07-26_13-06-23_1057221</t>
  </si>
  <si>
    <t>c:/users/omer/rl-qecc-data/2026-07-26_13-06-23_615504</t>
  </si>
  <si>
    <t>c:/users/omer/rl-qecc-data/2026-07-26_13-06-36_4085276</t>
  </si>
  <si>
    <t>c:/users/omer/rl-qecc-data/2026-07-26_13-29-16_898255</t>
  </si>
  <si>
    <t>c:/users/omer/rl-qecc-data/2026-07-26_13-29-16_898256</t>
  </si>
  <si>
    <t>c:/users/omer/rl-qecc-data/2026-07-26_13-29-16_898308</t>
  </si>
  <si>
    <t>c:/users/omer/rl-qecc-data/2026-07-26_13-29-41_1731002</t>
  </si>
  <si>
    <t>c:/users/omer/rl-qecc-data/2026-07-26_13-29-41_2491993</t>
  </si>
  <si>
    <t>c:/users/omer/rl-qecc-data/2026-07-26_13-29-41_2491994</t>
  </si>
  <si>
    <t>c:/users/omer/rl-qecc-data/2026-07-26_13-29-41_2492036</t>
  </si>
  <si>
    <t>c:/users/omer/rl-qecc-data/2026-07-26_13-29-41_2804477</t>
  </si>
  <si>
    <t>c:/users/omer/rl-qecc-data/2026-07-26_13-29-41_2804482</t>
  </si>
  <si>
    <t>c:/users/omer/rl-qecc-data/2026-07-26_13-29-41_2804511</t>
  </si>
  <si>
    <t>c:/users/omer/rl-qecc-data/2026-07-26_13-29-41_3561444</t>
  </si>
  <si>
    <t>c:/users/omer/rl-qecc-data/2026-07-26_13-29-41_3561445</t>
  </si>
  <si>
    <t>c:/users/omer/rl-qecc-data/2026-07-26_13-29-41_3561477</t>
  </si>
  <si>
    <t>c:/users/omer/rl-qecc-data/2026-07-26_13-30-13_2493425</t>
  </si>
  <si>
    <t>c:/users/omer/rl-qecc-data/2026-07-26_13-30-13_3488014</t>
  </si>
  <si>
    <t>c:/users/omer/rl-qecc-data/2026-07-26_13-30-13_608744</t>
  </si>
  <si>
    <t>c:/users/omer/rl-qecc-data/2026-07-26_13-30-31_2806171</t>
  </si>
  <si>
    <t>c:/users/omer/rl-qecc-data/2026-07-26_13-30-31_3563137</t>
  </si>
  <si>
    <t>c:/users/omer/rl-qecc-data/2026-07-26_13-30-38_2806614</t>
  </si>
  <si>
    <t>c:/users/omer/rl-qecc-data/2026-07-26_13-30-38_2806615</t>
  </si>
  <si>
    <t>c:/users/omer/rl-qecc-data/2026-07-26_13-30-38_3563526</t>
  </si>
  <si>
    <t>c:/users/omer/rl-qecc-data/2026-07-26_13-30-38_3563527</t>
  </si>
  <si>
    <t>c:/users/omer/rl-qecc-data/2026-07-26_13-30-39_2493943</t>
  </si>
  <si>
    <t>c:/users/omer/rl-qecc-data/2026-07-26_13-31-06_2494245</t>
  </si>
  <si>
    <t>c:/users/omer/rl-qecc-data/2026-07-26_20-36-07_1077617</t>
  </si>
  <si>
    <t>3,27</t>
  </si>
  <si>
    <t>c:/users/omer/rl-qecc-data/2026-07-26_20-36-07_636968</t>
  </si>
  <si>
    <t>5,15</t>
  </si>
  <si>
    <t>c:/users/omer/rl-qecc-data/2026-07-26_20-36-08_4106178</t>
  </si>
  <si>
    <t>Code 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</si>
</sst>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1" fillId="2" borderId="0" xfId="0" applyFont="1" applyFill="1"/>
    <xf numFmtId="0" fontId="1" fillId="3" borderId="0" xfId="0" applyFont="1" applyFill="1"/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1" fillId="4" borderId="0" xfId="0" applyFont="1" applyFill="1"/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H1:W28"/>
  <sheetViews>
    <sheetView topLeftCell="L1" zoomScale="70" zoomScaleNormal="70" workbookViewId="0">
      <selection activeCell="H1" sqref="H1:U1"/>
    </sheetView>
  </sheetViews>
  <sheetFormatPr defaultRowHeight="20.95" x14ac:dyDescent="0.4"/>
  <cols>
    <col min="1" max="6" width="8.88671875" style="1" customWidth="1"/>
    <col min="7" max="7" width="5.5546875" style="1" customWidth="1"/>
    <col min="8" max="8" width="85.21875" style="1" customWidth="1"/>
    <col min="9" max="9" width="9.88671875" style="1" bestFit="1" customWidth="1"/>
    <col min="10" max="10" width="8.88671875" style="1" customWidth="1"/>
    <col min="11" max="11" width="31.21875" style="1" customWidth="1"/>
    <col min="12" max="12" width="32.44140625" style="1" customWidth="1"/>
    <col min="13" max="15" width="32.77734375" style="1" customWidth="1"/>
    <col min="16" max="16" width="29.6640625" style="1" customWidth="1"/>
    <col min="17" max="17" width="28.77734375" style="1" customWidth="1"/>
    <col min="18" max="18" width="24.77734375" style="1" customWidth="1"/>
    <col min="19" max="19" width="23.109375" style="1" customWidth="1"/>
    <col min="20" max="20" width="27.21875" style="1" customWidth="1"/>
    <col min="21" max="21" width="17.33203125" style="1" customWidth="1"/>
    <col min="22" max="22" width="30.109375" style="1" bestFit="1" customWidth="1"/>
    <col min="23" max="23" width="19.44140625" style="1" bestFit="1" customWidth="1"/>
    <col min="24" max="26" width="8.88671875" style="1" customWidth="1"/>
    <col min="27" max="16384" width="8.88671875" style="1"/>
  </cols>
  <sheetData>
    <row r="1" spans="8:23" ht="42.55" customHeight="1" thickBot="1" x14ac:dyDescent="0.45">
      <c r="H1" s="1" t="s">
        <v>0</v>
      </c>
      <c r="I1" s="2" t="s">
        <v>1</v>
      </c>
      <c r="J1" s="3" t="s">
        <v>2</v>
      </c>
      <c r="K1" s="3" t="s">
        <v>3</v>
      </c>
      <c r="L1" s="3"/>
      <c r="M1" s="3" t="s">
        <v>4</v>
      </c>
      <c r="N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3" t="s">
        <v>11</v>
      </c>
      <c r="U1" s="4" t="s">
        <v>12</v>
      </c>
      <c r="V1" t="s">
        <v>146</v>
      </c>
      <c r="W1" t="s">
        <v>147</v>
      </c>
    </row>
    <row r="2" spans="8:23" ht="42.55" customHeight="1" thickBot="1" x14ac:dyDescent="0.45">
      <c r="H2" s="9" t="s">
        <v>148</v>
      </c>
      <c r="I2" s="8">
        <v>460101</v>
      </c>
      <c r="J2" s="7" t="s">
        <v>36</v>
      </c>
      <c r="K2" s="7">
        <v>8</v>
      </c>
      <c r="L2" s="7"/>
      <c r="M2" s="7" t="s">
        <v>149</v>
      </c>
      <c r="N2" s="7"/>
      <c r="O2" s="7"/>
      <c r="P2" s="7"/>
      <c r="Q2" s="7" t="s">
        <v>28</v>
      </c>
      <c r="R2" s="7">
        <v>3.0000000000000001E-3</v>
      </c>
      <c r="S2" s="7" t="s">
        <v>17</v>
      </c>
      <c r="T2" s="7" t="s">
        <v>27</v>
      </c>
    </row>
    <row r="3" spans="8:23" ht="42.55" customHeight="1" thickBot="1" x14ac:dyDescent="0.45">
      <c r="H3" s="9" t="s">
        <v>150</v>
      </c>
      <c r="I3" s="8">
        <v>232323</v>
      </c>
      <c r="J3" s="7" t="s">
        <v>36</v>
      </c>
      <c r="K3" s="7">
        <v>8</v>
      </c>
      <c r="L3" s="7"/>
      <c r="M3" s="7" t="s">
        <v>26</v>
      </c>
      <c r="N3" s="7"/>
      <c r="O3" s="7"/>
      <c r="P3" s="7"/>
      <c r="Q3" s="7" t="s">
        <v>28</v>
      </c>
      <c r="R3" s="7">
        <v>3.0000000000000001E-3</v>
      </c>
      <c r="S3" s="7" t="s">
        <v>17</v>
      </c>
      <c r="T3" s="7" t="s">
        <v>27</v>
      </c>
    </row>
    <row r="4" spans="8:23" ht="42.55" customHeight="1" thickBot="1" x14ac:dyDescent="0.45">
      <c r="H4" s="9" t="s">
        <v>151</v>
      </c>
      <c r="I4" s="8">
        <v>111</v>
      </c>
      <c r="J4" s="7" t="s">
        <v>36</v>
      </c>
      <c r="K4" s="7">
        <v>8</v>
      </c>
      <c r="L4" s="7"/>
      <c r="M4" s="7" t="s">
        <v>149</v>
      </c>
      <c r="N4" s="7"/>
      <c r="O4" s="7"/>
      <c r="P4" s="7"/>
      <c r="Q4" s="7" t="s">
        <v>28</v>
      </c>
      <c r="R4" s="7">
        <v>3.0000000000000001E-3</v>
      </c>
      <c r="S4" s="7" t="s">
        <v>17</v>
      </c>
      <c r="T4" s="7" t="s">
        <v>27</v>
      </c>
    </row>
    <row r="5" spans="8:23" ht="42.55" customHeight="1" thickBot="1" x14ac:dyDescent="0.45">
      <c r="H5" s="7" t="s">
        <v>152</v>
      </c>
      <c r="I5" s="8">
        <v>2</v>
      </c>
      <c r="J5" s="7" t="s">
        <v>36</v>
      </c>
      <c r="K5" s="7">
        <v>8</v>
      </c>
      <c r="L5" s="7"/>
      <c r="M5" s="7" t="s">
        <v>26</v>
      </c>
      <c r="N5" s="7"/>
      <c r="O5" s="7"/>
      <c r="P5" s="7"/>
      <c r="Q5" s="7" t="s">
        <v>28</v>
      </c>
      <c r="R5" s="7">
        <v>3.0000000000000001E-3</v>
      </c>
      <c r="S5" s="7" t="s">
        <v>17</v>
      </c>
      <c r="T5" s="9" t="s">
        <v>27</v>
      </c>
    </row>
    <row r="6" spans="8:23" ht="42.55" customHeight="1" thickBot="1" x14ac:dyDescent="0.45">
      <c r="H6" s="9" t="s">
        <v>153</v>
      </c>
      <c r="I6" s="8">
        <v>90210</v>
      </c>
      <c r="J6" s="7" t="s">
        <v>36</v>
      </c>
      <c r="K6" s="7">
        <v>8</v>
      </c>
      <c r="L6" s="7"/>
      <c r="M6" s="7" t="s">
        <v>149</v>
      </c>
      <c r="N6" s="7"/>
      <c r="O6" s="7"/>
      <c r="P6" s="7"/>
      <c r="Q6" s="7" t="s">
        <v>28</v>
      </c>
      <c r="R6" s="7">
        <v>3.0000000000000001E-3</v>
      </c>
      <c r="S6" s="7" t="s">
        <v>17</v>
      </c>
      <c r="T6" s="7" t="s">
        <v>27</v>
      </c>
    </row>
    <row r="7" spans="8:23" ht="42.55" customHeight="1" thickBot="1" x14ac:dyDescent="0.45">
      <c r="H7" s="9" t="s">
        <v>154</v>
      </c>
      <c r="I7" s="8">
        <v>466555</v>
      </c>
      <c r="J7" s="7" t="s">
        <v>36</v>
      </c>
      <c r="K7" s="7">
        <v>8</v>
      </c>
      <c r="L7" s="7"/>
      <c r="M7" s="7" t="s">
        <v>26</v>
      </c>
      <c r="N7" s="7"/>
      <c r="O7" s="7"/>
      <c r="P7" s="7"/>
      <c r="Q7" s="7" t="s">
        <v>28</v>
      </c>
      <c r="R7" s="7">
        <v>3.0000000000000001E-3</v>
      </c>
      <c r="S7" s="7" t="s">
        <v>17</v>
      </c>
      <c r="T7" s="7" t="s">
        <v>27</v>
      </c>
    </row>
    <row r="8" spans="8:23" ht="42.55" customHeight="1" thickBot="1" x14ac:dyDescent="0.45">
      <c r="H8" s="9"/>
      <c r="I8" s="8">
        <v>101010</v>
      </c>
      <c r="J8" s="7" t="s">
        <v>36</v>
      </c>
      <c r="K8" s="7">
        <v>8</v>
      </c>
      <c r="L8" s="7"/>
      <c r="M8" s="7" t="s">
        <v>149</v>
      </c>
      <c r="N8" s="7"/>
      <c r="O8" s="7"/>
      <c r="P8" s="7"/>
      <c r="Q8" s="7" t="s">
        <v>42</v>
      </c>
      <c r="R8" s="7">
        <v>3.0000000000000001E-3</v>
      </c>
      <c r="S8" s="7" t="s">
        <v>17</v>
      </c>
      <c r="T8" s="7" t="s">
        <v>27</v>
      </c>
    </row>
    <row r="9" spans="8:23" ht="42.55" customHeight="1" thickBot="1" x14ac:dyDescent="0.45">
      <c r="H9" s="9" t="s">
        <v>155</v>
      </c>
      <c r="I9" s="8">
        <v>123456</v>
      </c>
      <c r="J9" s="7" t="s">
        <v>36</v>
      </c>
      <c r="K9" s="7">
        <v>8</v>
      </c>
      <c r="L9" s="7"/>
      <c r="M9" s="7" t="s">
        <v>26</v>
      </c>
      <c r="N9" s="7"/>
      <c r="O9" s="7"/>
      <c r="P9" s="7"/>
      <c r="Q9" s="7" t="s">
        <v>42</v>
      </c>
      <c r="R9" s="7">
        <v>3.0000000000000001E-3</v>
      </c>
      <c r="S9" s="7" t="s">
        <v>17</v>
      </c>
      <c r="T9" s="7" t="s">
        <v>27</v>
      </c>
    </row>
    <row r="10" spans="8:23" ht="42.55" customHeight="1" thickBot="1" x14ac:dyDescent="0.45">
      <c r="H10" s="10" t="s">
        <v>156</v>
      </c>
      <c r="I10" s="11">
        <v>232323</v>
      </c>
      <c r="J10" s="12" t="s">
        <v>36</v>
      </c>
      <c r="K10" s="12">
        <v>8</v>
      </c>
      <c r="L10" s="12"/>
      <c r="M10" s="12" t="s">
        <v>149</v>
      </c>
      <c r="N10" s="12"/>
      <c r="O10" s="12"/>
      <c r="P10" s="12"/>
      <c r="Q10" s="12" t="s">
        <v>42</v>
      </c>
      <c r="R10" s="12">
        <v>3.0000000000000001E-3</v>
      </c>
      <c r="S10" s="12" t="s">
        <v>17</v>
      </c>
      <c r="T10" s="12" t="s">
        <v>157</v>
      </c>
      <c r="U10" s="1" t="s">
        <v>158</v>
      </c>
    </row>
    <row r="11" spans="8:23" ht="42.55" customHeight="1" thickBot="1" x14ac:dyDescent="0.45">
      <c r="H11" s="9" t="s">
        <v>159</v>
      </c>
      <c r="I11" s="8">
        <v>111</v>
      </c>
      <c r="J11" s="7" t="s">
        <v>36</v>
      </c>
      <c r="K11" s="7">
        <v>8</v>
      </c>
      <c r="L11" s="7"/>
      <c r="M11" s="7" t="s">
        <v>26</v>
      </c>
      <c r="N11" s="7"/>
      <c r="O11" s="7"/>
      <c r="P11" s="7">
        <v>10</v>
      </c>
      <c r="Q11" s="7" t="s">
        <v>42</v>
      </c>
      <c r="R11" s="7">
        <v>3.0000000000000001E-3</v>
      </c>
      <c r="S11" s="7"/>
      <c r="T11" s="7"/>
    </row>
    <row r="12" spans="8:23" ht="42.55" customHeight="1" thickBot="1" x14ac:dyDescent="0.45">
      <c r="H12" s="1" t="s">
        <v>160</v>
      </c>
      <c r="I12" s="5">
        <v>2</v>
      </c>
      <c r="J12" s="6" t="s">
        <v>36</v>
      </c>
      <c r="K12" s="6">
        <v>8</v>
      </c>
      <c r="L12" s="6"/>
      <c r="M12" s="6" t="s">
        <v>149</v>
      </c>
      <c r="N12" s="6"/>
      <c r="O12" s="6"/>
      <c r="P12" s="6">
        <v>10</v>
      </c>
      <c r="Q12" s="6" t="s">
        <v>42</v>
      </c>
      <c r="R12" s="6">
        <v>3.0000000000000001E-3</v>
      </c>
      <c r="S12" s="6"/>
      <c r="T12" s="6"/>
    </row>
    <row r="13" spans="8:23" ht="42.55" customHeight="1" thickBot="1" x14ac:dyDescent="0.45">
      <c r="H13" s="9" t="s">
        <v>161</v>
      </c>
      <c r="I13" s="8">
        <v>460101</v>
      </c>
      <c r="J13" s="7" t="s">
        <v>36</v>
      </c>
      <c r="K13" s="7">
        <v>8</v>
      </c>
      <c r="L13" s="7"/>
      <c r="M13" s="7" t="s">
        <v>26</v>
      </c>
      <c r="N13" s="7"/>
      <c r="O13" s="7"/>
      <c r="P13" s="7"/>
      <c r="Q13" s="7" t="s">
        <v>42</v>
      </c>
      <c r="R13" s="7">
        <v>3.0000000000000001E-3</v>
      </c>
      <c r="S13" s="7" t="s">
        <v>17</v>
      </c>
      <c r="T13" s="7" t="s">
        <v>27</v>
      </c>
    </row>
    <row r="14" spans="8:23" ht="42.55" customHeight="1" thickBot="1" x14ac:dyDescent="0.45">
      <c r="H14" s="13"/>
      <c r="I14" s="14"/>
      <c r="J14" s="15" t="s">
        <v>36</v>
      </c>
      <c r="K14" s="15">
        <v>8</v>
      </c>
      <c r="L14" s="15"/>
      <c r="M14" s="15"/>
      <c r="N14" s="15"/>
      <c r="O14" s="15"/>
      <c r="P14" s="15">
        <v>50</v>
      </c>
      <c r="Q14" s="15" t="s">
        <v>42</v>
      </c>
      <c r="R14" s="15">
        <v>3.0000000000000001E-3</v>
      </c>
      <c r="S14" s="15"/>
      <c r="T14" s="15"/>
    </row>
    <row r="15" spans="8:23" ht="42.55" customHeight="1" thickBot="1" x14ac:dyDescent="0.45">
      <c r="H15" s="13"/>
      <c r="I15" s="14"/>
      <c r="J15" s="15" t="s">
        <v>36</v>
      </c>
      <c r="K15" s="15">
        <v>8</v>
      </c>
      <c r="L15" s="15"/>
      <c r="M15" s="15"/>
      <c r="N15" s="15"/>
      <c r="O15" s="15"/>
      <c r="P15" s="15">
        <v>50</v>
      </c>
      <c r="Q15" s="15" t="s">
        <v>42</v>
      </c>
      <c r="R15" s="15">
        <v>3.0000000000000001E-3</v>
      </c>
      <c r="S15" s="15"/>
      <c r="T15" s="15"/>
    </row>
    <row r="16" spans="8:23" ht="42.55" customHeight="1" thickBot="1" x14ac:dyDescent="0.45">
      <c r="H16" s="13"/>
      <c r="I16" s="14">
        <v>232323</v>
      </c>
      <c r="J16" s="15" t="s">
        <v>36</v>
      </c>
      <c r="K16" s="15">
        <v>8</v>
      </c>
      <c r="L16" s="15"/>
      <c r="M16" s="15" t="s">
        <v>26</v>
      </c>
      <c r="N16" s="15"/>
      <c r="O16" s="15"/>
      <c r="P16" s="15">
        <v>50</v>
      </c>
      <c r="Q16" s="15" t="s">
        <v>42</v>
      </c>
      <c r="R16" s="15">
        <v>3.0000000000000001E-3</v>
      </c>
      <c r="S16" s="15"/>
      <c r="T16" s="15"/>
    </row>
    <row r="17" spans="8:23" ht="63.5" customHeight="1" thickBot="1" x14ac:dyDescent="0.45">
      <c r="H17" s="13" t="s">
        <v>162</v>
      </c>
      <c r="I17" s="14">
        <v>232323</v>
      </c>
      <c r="J17" s="15" t="s">
        <v>36</v>
      </c>
      <c r="K17" s="15">
        <v>8</v>
      </c>
      <c r="L17" s="15"/>
      <c r="M17" s="15" t="s">
        <v>26</v>
      </c>
      <c r="N17" s="15"/>
      <c r="O17" s="15"/>
      <c r="P17" s="15">
        <v>20</v>
      </c>
      <c r="Q17" s="16" t="s">
        <v>47</v>
      </c>
      <c r="R17" s="15">
        <v>3.0000000000000001E-3</v>
      </c>
      <c r="S17" s="15" t="s">
        <v>17</v>
      </c>
      <c r="T17" s="15" t="s">
        <v>27</v>
      </c>
    </row>
    <row r="18" spans="8:23" ht="63.5" customHeight="1" thickBot="1" x14ac:dyDescent="0.45">
      <c r="R18" s="15"/>
      <c r="S18" s="15"/>
      <c r="T18" s="15"/>
    </row>
    <row r="19" spans="8:23" ht="42.55" customHeight="1" thickBot="1" x14ac:dyDescent="0.45">
      <c r="I19" s="5">
        <v>2</v>
      </c>
      <c r="J19" s="6" t="s">
        <v>51</v>
      </c>
      <c r="K19" s="6">
        <v>10</v>
      </c>
      <c r="L19" s="6"/>
      <c r="M19" s="6" t="s">
        <v>26</v>
      </c>
      <c r="N19" s="6" t="s">
        <v>163</v>
      </c>
      <c r="O19" s="6">
        <v>0.1</v>
      </c>
      <c r="P19" s="6">
        <v>10</v>
      </c>
      <c r="Q19" s="6" t="s">
        <v>42</v>
      </c>
      <c r="R19" s="6">
        <v>3.0000000000000001E-3</v>
      </c>
      <c r="S19" s="6"/>
      <c r="T19" s="6"/>
    </row>
    <row r="20" spans="8:23" ht="42.55" customHeight="1" thickBot="1" x14ac:dyDescent="0.45">
      <c r="H20" s="1" t="s">
        <v>164</v>
      </c>
      <c r="I20" s="5">
        <v>232323</v>
      </c>
      <c r="J20" s="6" t="s">
        <v>51</v>
      </c>
      <c r="K20" s="6">
        <v>10</v>
      </c>
      <c r="L20" s="6"/>
      <c r="M20" s="6" t="s">
        <v>26</v>
      </c>
      <c r="N20" s="6" t="s">
        <v>16</v>
      </c>
      <c r="O20" s="6">
        <v>1</v>
      </c>
      <c r="P20" s="6">
        <v>0</v>
      </c>
      <c r="Q20" s="6" t="s">
        <v>42</v>
      </c>
      <c r="R20" s="6">
        <v>3.0000000000000001E-3</v>
      </c>
      <c r="S20" s="6"/>
      <c r="T20" s="6"/>
    </row>
    <row r="21" spans="8:23" ht="42.55" customHeight="1" thickBot="1" x14ac:dyDescent="0.45">
      <c r="H21" s="1" t="s">
        <v>165</v>
      </c>
      <c r="I21" s="5">
        <v>232323</v>
      </c>
      <c r="J21" s="6" t="s">
        <v>51</v>
      </c>
      <c r="K21" s="6">
        <v>10</v>
      </c>
      <c r="L21" s="6"/>
      <c r="M21" s="6" t="s">
        <v>26</v>
      </c>
      <c r="N21" s="6"/>
      <c r="O21" s="6">
        <v>0.1</v>
      </c>
      <c r="P21" s="6">
        <v>10</v>
      </c>
      <c r="Q21" s="6" t="s">
        <v>42</v>
      </c>
      <c r="R21" s="6">
        <v>3.0000000000000001E-3</v>
      </c>
      <c r="S21" s="6"/>
      <c r="T21" s="6"/>
    </row>
    <row r="22" spans="8:23" ht="42.55" customHeight="1" thickBot="1" x14ac:dyDescent="0.45">
      <c r="I22" s="5"/>
      <c r="J22" s="6" t="s">
        <v>51</v>
      </c>
      <c r="K22" s="6">
        <v>10</v>
      </c>
      <c r="L22" s="6"/>
      <c r="M22" s="6" t="s">
        <v>26</v>
      </c>
      <c r="N22" s="6"/>
      <c r="O22" s="6"/>
      <c r="P22" s="6"/>
      <c r="Q22" s="6" t="s">
        <v>42</v>
      </c>
      <c r="R22" s="6">
        <v>3.0000000000000001E-3</v>
      </c>
      <c r="S22" s="6"/>
      <c r="T22" s="6"/>
    </row>
    <row r="23" spans="8:23" ht="42.55" customHeight="1" thickBot="1" x14ac:dyDescent="0.45">
      <c r="I23" s="5"/>
      <c r="J23" s="6" t="s">
        <v>51</v>
      </c>
      <c r="K23" s="6">
        <v>10</v>
      </c>
      <c r="L23" s="6"/>
      <c r="M23" s="6" t="s">
        <v>26</v>
      </c>
      <c r="N23" s="6"/>
      <c r="O23" s="6"/>
      <c r="P23" s="6"/>
      <c r="Q23" s="6" t="s">
        <v>42</v>
      </c>
      <c r="R23" s="6">
        <v>3.0000000000000001E-3</v>
      </c>
      <c r="S23" s="6"/>
      <c r="T23" s="6"/>
    </row>
    <row r="24" spans="8:23" ht="42.55" customHeight="1" thickBot="1" x14ac:dyDescent="0.45">
      <c r="I24" s="5"/>
      <c r="J24" s="6" t="s">
        <v>51</v>
      </c>
      <c r="K24" s="6">
        <v>10</v>
      </c>
      <c r="L24" s="6"/>
      <c r="M24" s="6" t="s">
        <v>26</v>
      </c>
      <c r="N24" s="6"/>
      <c r="O24" s="6"/>
      <c r="P24" s="6"/>
      <c r="Q24" s="6" t="s">
        <v>42</v>
      </c>
      <c r="R24" s="6">
        <v>3.0000000000000001E-3</v>
      </c>
      <c r="S24" s="6"/>
      <c r="T24" s="6"/>
    </row>
    <row r="25" spans="8:23" x14ac:dyDescent="0.4">
      <c r="I25" s="1">
        <v>111</v>
      </c>
      <c r="J25" s="1" t="s">
        <v>36</v>
      </c>
      <c r="K25" s="1">
        <v>8</v>
      </c>
      <c r="M25" s="1" t="s">
        <v>26</v>
      </c>
      <c r="N25" s="1" t="s">
        <v>16</v>
      </c>
      <c r="O25" s="1">
        <v>0.1</v>
      </c>
      <c r="P25" s="1">
        <v>50</v>
      </c>
    </row>
    <row r="26" spans="8:23" x14ac:dyDescent="0.4">
      <c r="I26" s="1">
        <v>101010</v>
      </c>
      <c r="J26" s="1" t="s">
        <v>36</v>
      </c>
      <c r="K26" s="1">
        <v>8</v>
      </c>
      <c r="M26" s="1" t="s">
        <v>26</v>
      </c>
      <c r="N26" s="1" t="s">
        <v>16</v>
      </c>
      <c r="O26" s="1">
        <v>0.1</v>
      </c>
      <c r="P26" s="1">
        <v>50</v>
      </c>
    </row>
    <row r="27" spans="8:23" x14ac:dyDescent="0.4">
      <c r="N27" s="1" t="s">
        <v>16</v>
      </c>
      <c r="O27" s="1">
        <v>1</v>
      </c>
      <c r="P27" s="1">
        <v>0</v>
      </c>
    </row>
    <row r="28" spans="8:23" x14ac:dyDescent="0.4">
      <c r="H28" t="s">
        <v>166</v>
      </c>
      <c r="I28">
        <v>7134066</v>
      </c>
      <c r="N28" t="s">
        <v>16</v>
      </c>
      <c r="R28">
        <v>1E-4</v>
      </c>
      <c r="S28" t="s">
        <v>17</v>
      </c>
      <c r="V28" t="str">
        <f>HYPERLINK("C:\Users\Omer\rl-qecc-data\2026-07-04_21-14-02\postProcessing.png","plot")</f>
        <v>plot</v>
      </c>
      <c r="W28" t="str">
        <f>HYPERLINK("C:\Users\Omer\rl-qecc-data\2026-07-04_21-14-02\experiment.txt","experiment.txt")</f>
        <v>experiment.txt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H1:W1"/>
  <sheetViews>
    <sheetView tabSelected="1" workbookViewId="0">
      <selection activeCell="U1" sqref="U1:W1"/>
    </sheetView>
  </sheetViews>
  <sheetFormatPr defaultRowHeight="15.05" x14ac:dyDescent="0.3"/>
  <cols>
    <col min="8" max="8" width="26" bestFit="1" customWidth="1"/>
    <col min="14" max="14" width="13.21875" customWidth="1"/>
    <col min="15" max="15" width="12.88671875" customWidth="1"/>
    <col min="17" max="17" width="14.21875" customWidth="1"/>
    <col min="18" max="18" width="15.88671875" customWidth="1"/>
    <col min="19" max="19" width="15.44140625" customWidth="1"/>
    <col min="20" max="20" width="13.109375" customWidth="1"/>
    <col min="21" max="21" width="14" customWidth="1"/>
    <col min="22" max="22" width="13.5546875" customWidth="1"/>
    <col min="23" max="23" width="13.109375" customWidth="1"/>
  </cols>
  <sheetData>
    <row r="1" spans="8:23" ht="105.4" customHeight="1" thickBot="1" x14ac:dyDescent="0.35">
      <c r="H1" s="2" t="s">
        <v>0</v>
      </c>
      <c r="I1" s="2" t="s">
        <v>1</v>
      </c>
      <c r="J1" s="3" t="s">
        <v>285</v>
      </c>
      <c r="K1" s="3" t="s">
        <v>3</v>
      </c>
      <c r="L1" s="3"/>
      <c r="M1" s="3" t="s">
        <v>4</v>
      </c>
      <c r="N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3" t="s">
        <v>11</v>
      </c>
      <c r="U1" s="2" t="s">
        <v>12</v>
      </c>
      <c r="V1" s="2" t="s">
        <v>13</v>
      </c>
      <c r="W1" s="2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H1:W234"/>
  <sheetViews>
    <sheetView workbookViewId="0">
      <selection sqref="A1:W1"/>
    </sheetView>
  </sheetViews>
  <sheetFormatPr defaultRowHeight="15.05" x14ac:dyDescent="0.3"/>
  <sheetData>
    <row r="1" spans="8:23" ht="105.4" customHeight="1" thickBot="1" x14ac:dyDescent="0.45">
      <c r="H1" s="1" t="s">
        <v>0</v>
      </c>
      <c r="I1" s="2" t="s">
        <v>1</v>
      </c>
      <c r="J1" s="3" t="s">
        <v>2</v>
      </c>
      <c r="K1" s="3" t="s">
        <v>3</v>
      </c>
      <c r="L1" s="3"/>
      <c r="M1" s="3" t="s">
        <v>4</v>
      </c>
      <c r="N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3" t="s">
        <v>11</v>
      </c>
      <c r="U1" s="4" t="s">
        <v>12</v>
      </c>
      <c r="V1" t="s">
        <v>146</v>
      </c>
      <c r="W1" t="s">
        <v>147</v>
      </c>
    </row>
    <row r="2" spans="8:23" x14ac:dyDescent="0.3">
      <c r="H2" t="s">
        <v>61</v>
      </c>
      <c r="I2">
        <v>232323</v>
      </c>
      <c r="J2" t="s">
        <v>36</v>
      </c>
      <c r="K2">
        <v>8</v>
      </c>
      <c r="M2" t="s">
        <v>26</v>
      </c>
      <c r="N2" t="s">
        <v>27</v>
      </c>
      <c r="O2">
        <v>0.1</v>
      </c>
      <c r="P2">
        <v>50</v>
      </c>
      <c r="Q2" t="s">
        <v>42</v>
      </c>
      <c r="R2">
        <v>3.0000000000000001E-3</v>
      </c>
      <c r="S2" t="s">
        <v>17</v>
      </c>
      <c r="V2" t="str">
        <f>HYPERLINK("c:\users\omer\rl-qecc-data\2026-07-16_18-30-47_4059110\postProcessing.png","plot")</f>
        <v>plot</v>
      </c>
      <c r="W2" t="str">
        <f>HYPERLINK("c:\users\omer\rl-qecc-data\2026-07-16_18-30-47_4059110\experiment.txt","experiment.txt")</f>
        <v>experiment.txt</v>
      </c>
    </row>
    <row r="3" spans="8:23" x14ac:dyDescent="0.3">
      <c r="H3" t="s">
        <v>167</v>
      </c>
      <c r="I3">
        <v>123456</v>
      </c>
      <c r="J3" t="s">
        <v>36</v>
      </c>
      <c r="K3">
        <v>6</v>
      </c>
      <c r="M3" t="s">
        <v>26</v>
      </c>
      <c r="N3" t="s">
        <v>27</v>
      </c>
      <c r="O3">
        <v>0.1</v>
      </c>
      <c r="P3">
        <v>20</v>
      </c>
      <c r="Q3" t="s">
        <v>28</v>
      </c>
      <c r="R3">
        <v>0.3</v>
      </c>
      <c r="S3" t="s">
        <v>17</v>
      </c>
      <c r="V3" t="str">
        <f>HYPERLINK("C:\Users\Omer\rl-qecc-data\2026-07-14_08-27-56\postProcessing.png","plot")</f>
        <v>plot</v>
      </c>
      <c r="W3" t="str">
        <f>HYPERLINK("C:\Users\Omer\rl-qecc-data\2026-07-14_08-27-56\experiment.txt","experiment.txt")</f>
        <v>experiment.txt</v>
      </c>
    </row>
    <row r="4" spans="8:23" x14ac:dyDescent="0.3">
      <c r="H4" t="s">
        <v>168</v>
      </c>
      <c r="N4" t="s">
        <v>16</v>
      </c>
      <c r="S4" t="s">
        <v>17</v>
      </c>
      <c r="V4" t="str">
        <f>HYPERLINK("c:\users\omer\rl-qecc-data\2026-07-02_13-39-22\postProcessing.png","plot")</f>
        <v>plot</v>
      </c>
      <c r="W4" t="str">
        <f>HYPERLINK("c:\users\omer\rl-qecc-data\2026-07-02_13-39-22\experiment.txt","experiment.txt")</f>
        <v>experiment.txt</v>
      </c>
    </row>
    <row r="5" spans="8:23" x14ac:dyDescent="0.3">
      <c r="H5" t="s">
        <v>169</v>
      </c>
      <c r="N5" t="s">
        <v>16</v>
      </c>
      <c r="S5" t="s">
        <v>17</v>
      </c>
      <c r="V5" t="str">
        <f>HYPERLINK("c:\users\omer\rl-qecc-data\2026-07-02_16-59-51\postProcessing.png","plot")</f>
        <v>plot</v>
      </c>
      <c r="W5" t="str">
        <f>HYPERLINK("c:\users\omer\rl-qecc-data\2026-07-02_16-59-51\experiment.txt","experiment.txt")</f>
        <v>experiment.txt</v>
      </c>
    </row>
    <row r="6" spans="8:23" x14ac:dyDescent="0.3">
      <c r="H6" t="s">
        <v>170</v>
      </c>
      <c r="N6" t="s">
        <v>16</v>
      </c>
      <c r="S6" t="s">
        <v>17</v>
      </c>
      <c r="V6" t="str">
        <f>HYPERLINK("c:\users\omer\rl-qecc-data\2026-07-02_17-00-26\postProcessing.png","plot")</f>
        <v>plot</v>
      </c>
      <c r="W6" t="str">
        <f>HYPERLINK("c:\users\omer\rl-qecc-data\2026-07-02_17-00-26\experiment.txt","experiment.txt")</f>
        <v>experiment.txt</v>
      </c>
    </row>
    <row r="7" spans="8:23" x14ac:dyDescent="0.3">
      <c r="H7" t="s">
        <v>171</v>
      </c>
      <c r="N7" t="s">
        <v>16</v>
      </c>
      <c r="S7" t="s">
        <v>17</v>
      </c>
      <c r="V7" t="str">
        <f>HYPERLINK("c:\users\omer\rl-qecc-data\2026-07-02_20-49-12\postProcessing.png","plot")</f>
        <v>plot</v>
      </c>
      <c r="W7" t="str">
        <f>HYPERLINK("c:\users\omer\rl-qecc-data\2026-07-02_20-49-12\experiment.txt","experiment.txt")</f>
        <v>experiment.txt</v>
      </c>
    </row>
    <row r="8" spans="8:23" x14ac:dyDescent="0.3">
      <c r="H8" t="s">
        <v>172</v>
      </c>
      <c r="N8" t="s">
        <v>16</v>
      </c>
      <c r="S8" t="s">
        <v>17</v>
      </c>
      <c r="V8" t="str">
        <f>HYPERLINK("c:\users\omer\rl-qecc-data\2026-07-02_20-58-54\postProcessing.png","plot")</f>
        <v>plot</v>
      </c>
      <c r="W8" t="str">
        <f>HYPERLINK("c:\users\omer\rl-qecc-data\2026-07-02_20-58-54\experiment.txt","experiment.txt")</f>
        <v>experiment.txt</v>
      </c>
    </row>
    <row r="9" spans="8:23" x14ac:dyDescent="0.3">
      <c r="H9" t="s">
        <v>173</v>
      </c>
      <c r="N9" t="s">
        <v>16</v>
      </c>
      <c r="S9" t="s">
        <v>17</v>
      </c>
      <c r="V9" t="str">
        <f>HYPERLINK("c:\users\omer\rl-qecc-data\2026-07-02_21-50-41\postProcessing.png","plot")</f>
        <v>plot</v>
      </c>
      <c r="W9" t="str">
        <f>HYPERLINK("c:\users\omer\rl-qecc-data\2026-07-02_21-50-41\experiment.txt","experiment.txt")</f>
        <v>experiment.txt</v>
      </c>
    </row>
    <row r="10" spans="8:23" x14ac:dyDescent="0.3">
      <c r="H10" t="s">
        <v>174</v>
      </c>
      <c r="I10">
        <v>7134066</v>
      </c>
      <c r="N10" t="s">
        <v>16</v>
      </c>
      <c r="R10">
        <v>1E-4</v>
      </c>
      <c r="S10" t="s">
        <v>17</v>
      </c>
      <c r="V10" t="str">
        <f>HYPERLINK("c:\users\omer\rl-qecc-data\2026-07-04_21-14-02\postProcessing.png","plot")</f>
        <v>plot</v>
      </c>
      <c r="W10" t="str">
        <f>HYPERLINK("c:\users\omer\rl-qecc-data\2026-07-04_21-14-02\experiment.txt","experiment.txt")</f>
        <v>experiment.txt</v>
      </c>
    </row>
    <row r="11" spans="8:23" x14ac:dyDescent="0.3">
      <c r="H11" t="s">
        <v>175</v>
      </c>
      <c r="I11">
        <v>7134066</v>
      </c>
      <c r="N11" t="s">
        <v>16</v>
      </c>
      <c r="R11">
        <v>1E-4</v>
      </c>
      <c r="S11" t="s">
        <v>17</v>
      </c>
      <c r="V11" t="str">
        <f>HYPERLINK("c:\users\omer\rl-qecc-data\2026-07-04_21-40-29\postProcessing.png","plot")</f>
        <v>plot</v>
      </c>
      <c r="W11" t="str">
        <f>HYPERLINK("c:\users\omer\rl-qecc-data\2026-07-04_21-40-29\experiment.txt","experiment.txt")</f>
        <v>experiment.txt</v>
      </c>
    </row>
    <row r="12" spans="8:23" x14ac:dyDescent="0.3">
      <c r="H12" t="s">
        <v>176</v>
      </c>
      <c r="I12">
        <v>546564</v>
      </c>
      <c r="N12" t="s">
        <v>16</v>
      </c>
      <c r="R12">
        <v>1E-4</v>
      </c>
      <c r="S12" t="s">
        <v>17</v>
      </c>
      <c r="V12" t="str">
        <f>HYPERLINK("c:\users\omer\rl-qecc-data\2026-07-05_14-27-37\postProcessing.png","plot")</f>
        <v>plot</v>
      </c>
      <c r="W12" t="str">
        <f>HYPERLINK("c:\users\omer\rl-qecc-data\2026-07-05_14-27-37\experiment.txt","experiment.txt")</f>
        <v>experiment.txt</v>
      </c>
    </row>
    <row r="13" spans="8:23" x14ac:dyDescent="0.3">
      <c r="H13" t="s">
        <v>177</v>
      </c>
      <c r="I13">
        <v>498464</v>
      </c>
      <c r="N13" t="s">
        <v>16</v>
      </c>
      <c r="R13">
        <v>1E-4</v>
      </c>
      <c r="S13" t="s">
        <v>17</v>
      </c>
      <c r="V13" t="str">
        <f>HYPERLINK("c:\users\omer\rl-qecc-data\2026-07-05_14-28-45\postProcessing.png","plot")</f>
        <v>plot</v>
      </c>
      <c r="W13" t="str">
        <f>HYPERLINK("c:\users\omer\rl-qecc-data\2026-07-05_14-28-45\experiment.txt","experiment.txt")</f>
        <v>experiment.txt</v>
      </c>
    </row>
    <row r="14" spans="8:23" x14ac:dyDescent="0.3">
      <c r="H14" t="s">
        <v>178</v>
      </c>
      <c r="I14">
        <v>61616</v>
      </c>
      <c r="N14" t="s">
        <v>16</v>
      </c>
      <c r="R14">
        <v>1E-4</v>
      </c>
      <c r="S14" t="s">
        <v>17</v>
      </c>
      <c r="V14" t="str">
        <f>HYPERLINK("c:\users\omer\rl-qecc-data\2026-07-05_14-28-48\postProcessing.png","plot")</f>
        <v>plot</v>
      </c>
      <c r="W14" t="str">
        <f>HYPERLINK("c:\users\omer\rl-qecc-data\2026-07-05_14-28-48\experiment.txt","experiment.txt")</f>
        <v>experiment.txt</v>
      </c>
    </row>
    <row r="15" spans="8:23" x14ac:dyDescent="0.3">
      <c r="H15" t="s">
        <v>179</v>
      </c>
      <c r="I15">
        <v>468</v>
      </c>
      <c r="N15" t="s">
        <v>16</v>
      </c>
      <c r="R15">
        <v>1E-4</v>
      </c>
      <c r="S15" t="s">
        <v>17</v>
      </c>
      <c r="V15" t="str">
        <f>HYPERLINK("c:\users\omer\rl-qecc-data\2026-07-05_14-29-15\postProcessing.png","plot")</f>
        <v>plot</v>
      </c>
      <c r="W15" t="str">
        <f>HYPERLINK("c:\users\omer\rl-qecc-data\2026-07-05_14-29-15\experiment.txt","experiment.txt")</f>
        <v>experiment.txt</v>
      </c>
    </row>
    <row r="16" spans="8:23" x14ac:dyDescent="0.3">
      <c r="H16" t="s">
        <v>180</v>
      </c>
      <c r="I16">
        <v>1841</v>
      </c>
      <c r="N16" t="s">
        <v>16</v>
      </c>
      <c r="R16">
        <v>1E-4</v>
      </c>
      <c r="S16" t="s">
        <v>17</v>
      </c>
      <c r="V16" t="str">
        <f>HYPERLINK("c:\users\omer\rl-qecc-data\2026-07-05_14-29-45\postProcessing.png","plot")</f>
        <v>plot</v>
      </c>
      <c r="W16" t="str">
        <f>HYPERLINK("c:\users\omer\rl-qecc-data\2026-07-05_14-29-45\experiment.txt","experiment.txt")</f>
        <v>experiment.txt</v>
      </c>
    </row>
    <row r="17" spans="8:23" x14ac:dyDescent="0.3">
      <c r="H17" t="s">
        <v>181</v>
      </c>
      <c r="I17">
        <v>7134066</v>
      </c>
      <c r="N17" t="s">
        <v>16</v>
      </c>
      <c r="R17">
        <v>1E-4</v>
      </c>
      <c r="S17" t="s">
        <v>17</v>
      </c>
      <c r="V17" t="str">
        <f>HYPERLINK("c:\users\omer\rl-qecc-data\2026-07-07_20-33-48\postProcessing.png","plot")</f>
        <v>plot</v>
      </c>
      <c r="W17" t="str">
        <f>HYPERLINK("c:\users\omer\rl-qecc-data\2026-07-07_20-33-48\experiment.txt","experiment.txt")</f>
        <v>experiment.txt</v>
      </c>
    </row>
    <row r="18" spans="8:23" x14ac:dyDescent="0.3">
      <c r="H18" t="s">
        <v>182</v>
      </c>
      <c r="I18">
        <v>7134066</v>
      </c>
      <c r="N18" t="s">
        <v>16</v>
      </c>
      <c r="R18">
        <v>1E-4</v>
      </c>
      <c r="S18" t="s">
        <v>17</v>
      </c>
      <c r="V18" t="str">
        <f>HYPERLINK("c:\users\omer\rl-qecc-data\2026-07-07_21-40-39\postProcessing.png","plot")</f>
        <v>plot</v>
      </c>
      <c r="W18" t="str">
        <f>HYPERLINK("c:\users\omer\rl-qecc-data\2026-07-07_21-40-39\experiment.txt","experiment.txt")</f>
        <v>experiment.txt</v>
      </c>
    </row>
    <row r="19" spans="8:23" x14ac:dyDescent="0.3">
      <c r="H19" t="s">
        <v>183</v>
      </c>
      <c r="N19" t="s">
        <v>16</v>
      </c>
      <c r="S19" t="s">
        <v>17</v>
      </c>
      <c r="V19" t="str">
        <f>HYPERLINK("c:\users\omer\rl-qecc-data\2026-07-07_23-30-55\postProcessing.png","plot")</f>
        <v>plot</v>
      </c>
      <c r="W19" t="str">
        <f>HYPERLINK("c:\users\omer\rl-qecc-data\2026-07-07_23-30-55\experiment.txt","experiment.txt")</f>
        <v>experiment.txt</v>
      </c>
    </row>
    <row r="20" spans="8:23" x14ac:dyDescent="0.3">
      <c r="H20" t="s">
        <v>184</v>
      </c>
      <c r="N20" t="s">
        <v>16</v>
      </c>
      <c r="S20" t="s">
        <v>17</v>
      </c>
      <c r="V20" t="str">
        <f>HYPERLINK("c:\users\omer\rl-qecc-data\2026-07-07_23-34-18\postProcessing.png","plot")</f>
        <v>plot</v>
      </c>
      <c r="W20" t="str">
        <f>HYPERLINK("c:\users\omer\rl-qecc-data\2026-07-07_23-34-18\experiment.txt","experiment.txt")</f>
        <v>experiment.txt</v>
      </c>
    </row>
    <row r="21" spans="8:23" x14ac:dyDescent="0.3">
      <c r="H21" t="s">
        <v>185</v>
      </c>
      <c r="N21" t="s">
        <v>16</v>
      </c>
      <c r="S21" t="s">
        <v>17</v>
      </c>
      <c r="V21" t="str">
        <f>HYPERLINK("c:\users\omer\rl-qecc-data\2026-07-07_23-44-14\postProcessing.png","plot")</f>
        <v>plot</v>
      </c>
      <c r="W21" t="str">
        <f>HYPERLINK("c:\users\omer\rl-qecc-data\2026-07-07_23-44-14\experiment.txt","experiment.txt")</f>
        <v>experiment.txt</v>
      </c>
    </row>
    <row r="22" spans="8:23" x14ac:dyDescent="0.3">
      <c r="H22" t="s">
        <v>186</v>
      </c>
      <c r="I22">
        <v>14</v>
      </c>
      <c r="N22" t="s">
        <v>16</v>
      </c>
      <c r="R22">
        <v>1E-4</v>
      </c>
      <c r="S22" t="s">
        <v>17</v>
      </c>
      <c r="V22" t="str">
        <f>HYPERLINK("c:\users\omer\rl-qecc-data\2026-07-08_19-32-01\postProcessing.png","plot")</f>
        <v>plot</v>
      </c>
      <c r="W22" t="str">
        <f>HYPERLINK("c:\users\omer\rl-qecc-data\2026-07-08_19-32-01\experiment.txt","experiment.txt")</f>
        <v>experiment.txt</v>
      </c>
    </row>
    <row r="23" spans="8:23" x14ac:dyDescent="0.3">
      <c r="H23" t="s">
        <v>187</v>
      </c>
      <c r="I23">
        <v>14</v>
      </c>
      <c r="N23" t="s">
        <v>16</v>
      </c>
      <c r="R23">
        <v>1E-4</v>
      </c>
      <c r="S23" t="s">
        <v>17</v>
      </c>
      <c r="V23" t="str">
        <f>HYPERLINK("c:\users\omer\rl-qecc-data\2026-07-08_19-37-16\postProcessing.png","plot")</f>
        <v>plot</v>
      </c>
      <c r="W23" t="str">
        <f>HYPERLINK("c:\users\omer\rl-qecc-data\2026-07-08_19-37-16\experiment.txt","experiment.txt")</f>
        <v>experiment.txt</v>
      </c>
    </row>
    <row r="24" spans="8:23" x14ac:dyDescent="0.3">
      <c r="H24" t="s">
        <v>188</v>
      </c>
      <c r="I24">
        <v>14</v>
      </c>
      <c r="N24" t="s">
        <v>16</v>
      </c>
      <c r="R24">
        <v>1E-4</v>
      </c>
      <c r="S24" t="s">
        <v>17</v>
      </c>
      <c r="V24" t="str">
        <f>HYPERLINK("c:\users\omer\rl-qecc-data\2026-07-08_20-03-49\postProcessing.png","plot")</f>
        <v>plot</v>
      </c>
      <c r="W24" t="str">
        <f>HYPERLINK("c:\users\omer\rl-qecc-data\2026-07-08_20-03-49\experiment.txt","experiment.txt")</f>
        <v>experiment.txt</v>
      </c>
    </row>
    <row r="25" spans="8:23" x14ac:dyDescent="0.3">
      <c r="H25" t="s">
        <v>189</v>
      </c>
      <c r="I25">
        <v>14</v>
      </c>
      <c r="N25" t="s">
        <v>16</v>
      </c>
      <c r="R25">
        <v>1E-4</v>
      </c>
      <c r="S25" t="s">
        <v>17</v>
      </c>
      <c r="V25" t="str">
        <f>HYPERLINK("c:\users\omer\rl-qecc-data\2026-07-08_20-24-25\postProcessing.png","plot")</f>
        <v>plot</v>
      </c>
      <c r="W25" t="str">
        <f>HYPERLINK("c:\users\omer\rl-qecc-data\2026-07-08_20-24-25\experiment.txt","experiment.txt")</f>
        <v>experiment.txt</v>
      </c>
    </row>
    <row r="26" spans="8:23" x14ac:dyDescent="0.3">
      <c r="H26" t="s">
        <v>190</v>
      </c>
      <c r="I26">
        <v>14</v>
      </c>
      <c r="N26" t="s">
        <v>16</v>
      </c>
      <c r="R26">
        <v>1E-4</v>
      </c>
      <c r="S26" t="s">
        <v>17</v>
      </c>
      <c r="V26" t="str">
        <f>HYPERLINK("c:\users\omer\rl-qecc-data\2026-07-08_21-18-49\postProcessing.png","plot")</f>
        <v>plot</v>
      </c>
      <c r="W26" t="str">
        <f>HYPERLINK("c:\users\omer\rl-qecc-data\2026-07-08_21-18-49\experiment.txt","experiment.txt")</f>
        <v>experiment.txt</v>
      </c>
    </row>
    <row r="27" spans="8:23" x14ac:dyDescent="0.3">
      <c r="H27" t="s">
        <v>191</v>
      </c>
      <c r="I27">
        <v>14</v>
      </c>
      <c r="N27" t="s">
        <v>16</v>
      </c>
      <c r="R27">
        <v>1E-4</v>
      </c>
      <c r="S27" t="s">
        <v>17</v>
      </c>
      <c r="V27" t="str">
        <f>HYPERLINK("c:\users\omer\rl-qecc-data\2026-07-08_22-18-00\postProcessing.png","plot")</f>
        <v>plot</v>
      </c>
      <c r="W27" t="str">
        <f>HYPERLINK("c:\users\omer\rl-qecc-data\2026-07-08_22-18-00\experiment.txt","experiment.txt")</f>
        <v>experiment.txt</v>
      </c>
    </row>
    <row r="28" spans="8:23" x14ac:dyDescent="0.3">
      <c r="H28" t="s">
        <v>192</v>
      </c>
      <c r="I28">
        <v>14</v>
      </c>
      <c r="N28" t="s">
        <v>16</v>
      </c>
      <c r="R28">
        <v>1E-4</v>
      </c>
      <c r="S28" t="s">
        <v>17</v>
      </c>
      <c r="V28" t="str">
        <f>HYPERLINK("c:\users\omer\rl-qecc-data\2026-07-09_08-21-01\postProcessing.png","plot")</f>
        <v>plot</v>
      </c>
      <c r="W28" t="str">
        <f>HYPERLINK("c:\users\omer\rl-qecc-data\2026-07-09_08-21-01\experiment.txt","experiment.txt")</f>
        <v>experiment.txt</v>
      </c>
    </row>
    <row r="29" spans="8:23" x14ac:dyDescent="0.3">
      <c r="H29" t="s">
        <v>193</v>
      </c>
      <c r="I29">
        <v>28</v>
      </c>
      <c r="N29" t="s">
        <v>16</v>
      </c>
      <c r="R29">
        <v>1E-4</v>
      </c>
      <c r="S29" t="s">
        <v>17</v>
      </c>
      <c r="V29" t="str">
        <f>HYPERLINK("c:\users\omer\rl-qecc-data\2026-07-09_10-24-36\postProcessing.png","plot")</f>
        <v>plot</v>
      </c>
      <c r="W29" t="str">
        <f>HYPERLINK("c:\users\omer\rl-qecc-data\2026-07-09_10-24-36\experiment.txt","experiment.txt")</f>
        <v>experiment.txt</v>
      </c>
    </row>
    <row r="30" spans="8:23" x14ac:dyDescent="0.3">
      <c r="H30" t="s">
        <v>194</v>
      </c>
      <c r="I30">
        <v>64</v>
      </c>
      <c r="N30" t="s">
        <v>16</v>
      </c>
      <c r="R30">
        <v>1E-4</v>
      </c>
      <c r="S30" t="s">
        <v>17</v>
      </c>
      <c r="V30" t="str">
        <f>HYPERLINK("c:\users\omer\rl-qecc-data\2026-07-09_10-47-08\postProcessing.png","plot")</f>
        <v>plot</v>
      </c>
      <c r="W30" t="str">
        <f>HYPERLINK("c:\users\omer\rl-qecc-data\2026-07-09_10-47-08\experiment.txt","experiment.txt")</f>
        <v>experiment.txt</v>
      </c>
    </row>
    <row r="31" spans="8:23" x14ac:dyDescent="0.3">
      <c r="H31" t="s">
        <v>195</v>
      </c>
      <c r="I31">
        <v>901201</v>
      </c>
      <c r="N31" t="s">
        <v>16</v>
      </c>
      <c r="R31">
        <v>1E-4</v>
      </c>
      <c r="S31" t="s">
        <v>17</v>
      </c>
      <c r="V31" t="str">
        <f>HYPERLINK("c:\users\omer\rl-qecc-data\2026-07-09_12-20-58\postProcessing.png","plot")</f>
        <v>plot</v>
      </c>
      <c r="W31" t="str">
        <f>HYPERLINK("c:\users\omer\rl-qecc-data\2026-07-09_12-20-58\experiment.txt","experiment.txt")</f>
        <v>experiment.txt</v>
      </c>
    </row>
    <row r="32" spans="8:23" x14ac:dyDescent="0.3">
      <c r="H32" t="s">
        <v>196</v>
      </c>
      <c r="I32">
        <v>49846</v>
      </c>
      <c r="N32" t="s">
        <v>16</v>
      </c>
      <c r="R32">
        <v>1E-4</v>
      </c>
      <c r="S32" t="s">
        <v>17</v>
      </c>
      <c r="V32" t="str">
        <f>HYPERLINK("c:\users\omer\rl-qecc-data\2026-07-09_12-39-52\postProcessing.png","plot")</f>
        <v>plot</v>
      </c>
      <c r="W32" t="str">
        <f>HYPERLINK("c:\users\omer\rl-qecc-data\2026-07-09_12-39-52\experiment.txt","experiment.txt")</f>
        <v>experiment.txt</v>
      </c>
    </row>
    <row r="33" spans="8:23" x14ac:dyDescent="0.3">
      <c r="H33" t="s">
        <v>197</v>
      </c>
      <c r="I33">
        <v>49846</v>
      </c>
      <c r="N33" t="s">
        <v>16</v>
      </c>
      <c r="R33">
        <v>1E-4</v>
      </c>
      <c r="S33" t="s">
        <v>17</v>
      </c>
      <c r="V33" t="str">
        <f>HYPERLINK("c:\users\omer\rl-qecc-data\2026-07-09_14-00-14\postProcessing.png","plot")</f>
        <v>plot</v>
      </c>
      <c r="W33" t="str">
        <f>HYPERLINK("c:\users\omer\rl-qecc-data\2026-07-09_14-00-14\experiment.txt","experiment.txt")</f>
        <v>experiment.txt</v>
      </c>
    </row>
    <row r="34" spans="8:23" x14ac:dyDescent="0.3">
      <c r="H34" t="s">
        <v>198</v>
      </c>
      <c r="I34">
        <v>901201</v>
      </c>
      <c r="N34" t="s">
        <v>16</v>
      </c>
      <c r="R34">
        <v>1E-4</v>
      </c>
      <c r="S34" t="s">
        <v>17</v>
      </c>
      <c r="V34" t="str">
        <f>HYPERLINK("c:\users\omer\rl-qecc-data\2026-07-09_14-00-15\postProcessing.png","plot")</f>
        <v>plot</v>
      </c>
      <c r="W34" t="str">
        <f>HYPERLINK("c:\users\omer\rl-qecc-data\2026-07-09_14-00-15\experiment.txt","experiment.txt")</f>
        <v>experiment.txt</v>
      </c>
    </row>
    <row r="35" spans="8:23" x14ac:dyDescent="0.3">
      <c r="H35" t="s">
        <v>199</v>
      </c>
      <c r="I35">
        <v>28</v>
      </c>
      <c r="N35" t="s">
        <v>16</v>
      </c>
      <c r="R35">
        <v>1E-4</v>
      </c>
      <c r="S35" t="s">
        <v>17</v>
      </c>
      <c r="V35" t="str">
        <f>HYPERLINK("c:\users\omer\rl-qecc-data\2026-07-09_14-03-47\postProcessing.png","plot")</f>
        <v>plot</v>
      </c>
      <c r="W35" t="str">
        <f>HYPERLINK("c:\users\omer\rl-qecc-data\2026-07-09_14-03-47\experiment.txt","experiment.txt")</f>
        <v>experiment.txt</v>
      </c>
    </row>
    <row r="36" spans="8:23" x14ac:dyDescent="0.3">
      <c r="H36" t="s">
        <v>200</v>
      </c>
      <c r="I36">
        <v>121111</v>
      </c>
      <c r="N36" t="s">
        <v>16</v>
      </c>
      <c r="R36">
        <v>1E-4</v>
      </c>
      <c r="S36" t="s">
        <v>17</v>
      </c>
      <c r="V36" t="str">
        <f>HYPERLINK("c:\users\omer\rl-qecc-data\2026-07-09_14-07-04\postProcessing.png","plot")</f>
        <v>plot</v>
      </c>
      <c r="W36" t="str">
        <f>HYPERLINK("c:\users\omer\rl-qecc-data\2026-07-09_14-07-04\experiment.txt","experiment.txt")</f>
        <v>experiment.txt</v>
      </c>
    </row>
    <row r="37" spans="8:23" x14ac:dyDescent="0.3">
      <c r="H37" t="s">
        <v>201</v>
      </c>
      <c r="I37">
        <v>2228</v>
      </c>
      <c r="N37" t="s">
        <v>16</v>
      </c>
      <c r="R37">
        <v>1E-4</v>
      </c>
      <c r="S37" t="s">
        <v>17</v>
      </c>
      <c r="V37" t="str">
        <f>HYPERLINK("c:\users\omer\rl-qecc-data\2026-07-09_14-16-50\postProcessing.png","plot")</f>
        <v>plot</v>
      </c>
      <c r="W37" t="str">
        <f>HYPERLINK("c:\users\omer\rl-qecc-data\2026-07-09_14-16-50\experiment.txt","experiment.txt")</f>
        <v>experiment.txt</v>
      </c>
    </row>
    <row r="38" spans="8:23" x14ac:dyDescent="0.3">
      <c r="H38" t="s">
        <v>202</v>
      </c>
      <c r="I38">
        <v>49846</v>
      </c>
      <c r="N38" t="s">
        <v>16</v>
      </c>
      <c r="R38">
        <v>1E-4</v>
      </c>
      <c r="S38" t="s">
        <v>17</v>
      </c>
      <c r="V38" t="str">
        <f>HYPERLINK("c:\users\omer\rl-qecc-data\2026-07-09_14-28-52\postProcessing.png","plot")</f>
        <v>plot</v>
      </c>
      <c r="W38" t="str">
        <f>HYPERLINK("c:\users\omer\rl-qecc-data\2026-07-09_14-28-52\experiment.txt","experiment.txt")</f>
        <v>experiment.txt</v>
      </c>
    </row>
    <row r="39" spans="8:23" x14ac:dyDescent="0.3">
      <c r="H39" t="s">
        <v>15</v>
      </c>
      <c r="I39">
        <v>49846</v>
      </c>
      <c r="N39" t="s">
        <v>16</v>
      </c>
      <c r="R39">
        <v>1E-4</v>
      </c>
      <c r="S39" t="s">
        <v>17</v>
      </c>
      <c r="V39" t="str">
        <f>HYPERLINK("c:\users\omer\rl-qecc-data\2026-07-09_16-51-56\postProcessing.png","plot")</f>
        <v>plot</v>
      </c>
      <c r="W39" t="str">
        <f>HYPERLINK("c:\users\omer\rl-qecc-data\2026-07-09_16-51-56\experiment.txt","experiment.txt")</f>
        <v>experiment.txt</v>
      </c>
    </row>
    <row r="40" spans="8:23" x14ac:dyDescent="0.3">
      <c r="H40" t="s">
        <v>203</v>
      </c>
      <c r="I40">
        <v>121111</v>
      </c>
      <c r="N40" t="s">
        <v>16</v>
      </c>
      <c r="R40">
        <v>0.1</v>
      </c>
      <c r="S40" t="s">
        <v>17</v>
      </c>
      <c r="V40" t="str">
        <f>HYPERLINK("c:\users\omer\rl-qecc-data\2026-07-09_20-35-27\postProcessing.png","plot")</f>
        <v>plot</v>
      </c>
      <c r="W40" t="str">
        <f>HYPERLINK("c:\users\omer\rl-qecc-data\2026-07-09_20-35-27\experiment.txt","experiment.txt")</f>
        <v>experiment.txt</v>
      </c>
    </row>
    <row r="41" spans="8:23" x14ac:dyDescent="0.3">
      <c r="H41" t="s">
        <v>204</v>
      </c>
      <c r="I41">
        <v>121111</v>
      </c>
      <c r="N41" t="s">
        <v>16</v>
      </c>
      <c r="R41">
        <v>0.3</v>
      </c>
      <c r="S41" t="s">
        <v>17</v>
      </c>
      <c r="V41" t="str">
        <f>HYPERLINK("c:\users\omer\rl-qecc-data\2026-07-10_10-10-42\postProcessing.png","plot")</f>
        <v>plot</v>
      </c>
      <c r="W41" t="str">
        <f>HYPERLINK("c:\users\omer\rl-qecc-data\2026-07-10_10-10-42\experiment.txt","experiment.txt")</f>
        <v>experiment.txt</v>
      </c>
    </row>
    <row r="42" spans="8:23" x14ac:dyDescent="0.3">
      <c r="H42" t="s">
        <v>18</v>
      </c>
      <c r="I42">
        <v>2844864</v>
      </c>
      <c r="N42" t="s">
        <v>16</v>
      </c>
      <c r="R42">
        <v>1E-4</v>
      </c>
      <c r="S42" t="s">
        <v>17</v>
      </c>
      <c r="V42" t="str">
        <f>HYPERLINK("c:\users\omer\rl-qecc-data\2026-07-10_10-13-17\postProcessing.png","plot")</f>
        <v>plot</v>
      </c>
      <c r="W42" t="str">
        <f>HYPERLINK("c:\users\omer\rl-qecc-data\2026-07-10_10-13-17\experiment.txt","experiment.txt")</f>
        <v>experiment.txt</v>
      </c>
    </row>
    <row r="43" spans="8:23" x14ac:dyDescent="0.3">
      <c r="H43" t="s">
        <v>19</v>
      </c>
      <c r="I43">
        <v>881211</v>
      </c>
      <c r="N43" t="s">
        <v>16</v>
      </c>
      <c r="R43">
        <v>0.1</v>
      </c>
      <c r="S43" t="s">
        <v>17</v>
      </c>
      <c r="V43" t="str">
        <f>HYPERLINK("c:\users\omer\rl-qecc-data\2026-07-10_10-20-26\postProcessing.png","plot")</f>
        <v>plot</v>
      </c>
      <c r="W43" t="str">
        <f>HYPERLINK("c:\users\omer\rl-qecc-data\2026-07-10_10-20-26\experiment.txt","experiment.txt")</f>
        <v>experiment.txt</v>
      </c>
    </row>
    <row r="44" spans="8:23" x14ac:dyDescent="0.3">
      <c r="H44" t="s">
        <v>20</v>
      </c>
      <c r="I44">
        <v>32843338</v>
      </c>
      <c r="N44" t="s">
        <v>16</v>
      </c>
      <c r="R44">
        <v>1E-4</v>
      </c>
      <c r="S44" t="s">
        <v>17</v>
      </c>
      <c r="V44" t="str">
        <f>HYPERLINK("c:\users\omer\rl-qecc-data\2026-07-10_10-22-11\postProcessing.png","plot")</f>
        <v>plot</v>
      </c>
      <c r="W44" t="str">
        <f>HYPERLINK("c:\users\omer\rl-qecc-data\2026-07-10_10-22-11\experiment.txt","experiment.txt")</f>
        <v>experiment.txt</v>
      </c>
    </row>
    <row r="45" spans="8:23" x14ac:dyDescent="0.3">
      <c r="H45" t="s">
        <v>205</v>
      </c>
      <c r="I45">
        <v>59</v>
      </c>
      <c r="J45" t="s">
        <v>22</v>
      </c>
      <c r="N45" t="s">
        <v>16</v>
      </c>
      <c r="R45">
        <v>0.3</v>
      </c>
      <c r="S45" t="s">
        <v>17</v>
      </c>
      <c r="V45" t="str">
        <f>HYPERLINK("c:\users\omer\rl-qecc-data\2026-07-11_00-03-44\postProcessing.png","plot")</f>
        <v>plot</v>
      </c>
      <c r="W45" t="str">
        <f>HYPERLINK("c:\users\omer\rl-qecc-data\2026-07-11_00-03-44\experiment.txt","experiment.txt")</f>
        <v>experiment.txt</v>
      </c>
    </row>
    <row r="46" spans="8:23" x14ac:dyDescent="0.3">
      <c r="H46" t="s">
        <v>21</v>
      </c>
      <c r="I46">
        <v>1982</v>
      </c>
      <c r="J46" t="s">
        <v>22</v>
      </c>
      <c r="N46" t="s">
        <v>16</v>
      </c>
      <c r="R46">
        <v>1E-3</v>
      </c>
      <c r="S46" t="s">
        <v>17</v>
      </c>
      <c r="V46" t="str">
        <f>HYPERLINK("c:\users\omer\rl-qecc-data\2026-07-11_11-34-52\postProcessing.png","plot")</f>
        <v>plot</v>
      </c>
      <c r="W46" t="str">
        <f>HYPERLINK("c:\users\omer\rl-qecc-data\2026-07-11_11-34-52\experiment.txt","experiment.txt")</f>
        <v>experiment.txt</v>
      </c>
    </row>
    <row r="47" spans="8:23" x14ac:dyDescent="0.3">
      <c r="H47" t="s">
        <v>23</v>
      </c>
      <c r="I47">
        <v>9959898</v>
      </c>
      <c r="J47" t="s">
        <v>24</v>
      </c>
      <c r="N47" t="s">
        <v>16</v>
      </c>
      <c r="R47">
        <v>0.1</v>
      </c>
      <c r="S47" t="s">
        <v>17</v>
      </c>
      <c r="V47" t="str">
        <f>HYPERLINK("c:\users\omer\rl-qecc-data\2026-07-11_13-03-32\postProcessing.png","plot")</f>
        <v>plot</v>
      </c>
      <c r="W47" t="str">
        <f>HYPERLINK("c:\users\omer\rl-qecc-data\2026-07-11_13-03-32\experiment.txt","experiment.txt")</f>
        <v>experiment.txt</v>
      </c>
    </row>
    <row r="48" spans="8:23" x14ac:dyDescent="0.3">
      <c r="H48" t="s">
        <v>25</v>
      </c>
      <c r="I48">
        <v>4601982</v>
      </c>
      <c r="J48" t="s">
        <v>22</v>
      </c>
      <c r="K48">
        <v>6</v>
      </c>
      <c r="M48" t="s">
        <v>26</v>
      </c>
      <c r="N48" t="s">
        <v>27</v>
      </c>
      <c r="O48">
        <v>0.1</v>
      </c>
      <c r="P48">
        <v>10</v>
      </c>
      <c r="Q48" t="s">
        <v>28</v>
      </c>
      <c r="R48">
        <v>1E-3</v>
      </c>
      <c r="S48" t="s">
        <v>17</v>
      </c>
      <c r="V48" t="str">
        <f>HYPERLINK("c:\users\omer\rl-qecc-data\2026-07-13_17-13-15\postProcessing.png","plot")</f>
        <v>plot</v>
      </c>
      <c r="W48" t="str">
        <f>HYPERLINK("c:\users\omer\rl-qecc-data\2026-07-13_17-13-15\experiment.txt","experiment.txt")</f>
        <v>experiment.txt</v>
      </c>
    </row>
    <row r="49" spans="8:23" x14ac:dyDescent="0.3">
      <c r="H49" t="s">
        <v>29</v>
      </c>
      <c r="I49">
        <v>1982</v>
      </c>
      <c r="J49" t="s">
        <v>22</v>
      </c>
      <c r="K49">
        <v>6</v>
      </c>
      <c r="M49" t="s">
        <v>26</v>
      </c>
      <c r="N49" t="s">
        <v>27</v>
      </c>
      <c r="O49">
        <v>0.1</v>
      </c>
      <c r="P49">
        <v>10</v>
      </c>
      <c r="Q49" t="s">
        <v>28</v>
      </c>
      <c r="R49">
        <v>1E-3</v>
      </c>
      <c r="S49" t="s">
        <v>17</v>
      </c>
      <c r="V49" t="str">
        <f>HYPERLINK("c:\users\omer\rl-qecc-data\2026-07-13_17-13-58\postProcessing.png","plot")</f>
        <v>plot</v>
      </c>
      <c r="W49" t="str">
        <f>HYPERLINK("c:\users\omer\rl-qecc-data\2026-07-13_17-13-58\experiment.txt","experiment.txt")</f>
        <v>experiment.txt</v>
      </c>
    </row>
    <row r="50" spans="8:23" x14ac:dyDescent="0.3">
      <c r="H50" t="s">
        <v>30</v>
      </c>
      <c r="I50">
        <v>1111111</v>
      </c>
      <c r="J50" t="s">
        <v>22</v>
      </c>
      <c r="K50">
        <v>6</v>
      </c>
      <c r="M50" t="s">
        <v>26</v>
      </c>
      <c r="N50" t="s">
        <v>27</v>
      </c>
      <c r="O50">
        <v>0.1</v>
      </c>
      <c r="P50">
        <v>20</v>
      </c>
      <c r="Q50" t="s">
        <v>28</v>
      </c>
      <c r="R50">
        <v>0.01</v>
      </c>
      <c r="S50" t="s">
        <v>17</v>
      </c>
      <c r="V50" t="str">
        <f>HYPERLINK("c:\users\omer\rl-qecc-data\2026-07-13_19-41-04\postProcessing.png","plot")</f>
        <v>plot</v>
      </c>
      <c r="W50" t="str">
        <f>HYPERLINK("c:\users\omer\rl-qecc-data\2026-07-13_19-41-04\experiment.txt","experiment.txt")</f>
        <v>experiment.txt</v>
      </c>
    </row>
    <row r="51" spans="8:23" x14ac:dyDescent="0.3">
      <c r="H51" t="s">
        <v>31</v>
      </c>
      <c r="I51">
        <v>22222222</v>
      </c>
      <c r="J51" t="s">
        <v>22</v>
      </c>
      <c r="K51">
        <v>6</v>
      </c>
      <c r="M51" t="s">
        <v>26</v>
      </c>
      <c r="N51" t="s">
        <v>27</v>
      </c>
      <c r="O51">
        <v>0.1</v>
      </c>
      <c r="P51">
        <v>20</v>
      </c>
      <c r="Q51" t="s">
        <v>28</v>
      </c>
      <c r="R51">
        <v>0.01</v>
      </c>
      <c r="S51" t="s">
        <v>17</v>
      </c>
      <c r="V51" t="str">
        <f>HYPERLINK("c:\users\omer\rl-qecc-data\2026-07-13_19-41-37\postProcessing.png","plot")</f>
        <v>plot</v>
      </c>
      <c r="W51" t="str">
        <f>HYPERLINK("c:\users\omer\rl-qecc-data\2026-07-13_19-41-37\experiment.txt","experiment.txt")</f>
        <v>experiment.txt</v>
      </c>
    </row>
    <row r="52" spans="8:23" x14ac:dyDescent="0.3">
      <c r="H52" t="s">
        <v>32</v>
      </c>
      <c r="I52">
        <v>777314159</v>
      </c>
      <c r="J52" t="s">
        <v>22</v>
      </c>
      <c r="K52">
        <v>6</v>
      </c>
      <c r="M52" t="s">
        <v>26</v>
      </c>
      <c r="N52" t="s">
        <v>27</v>
      </c>
      <c r="O52">
        <v>0.1</v>
      </c>
      <c r="P52">
        <v>20</v>
      </c>
      <c r="Q52" t="s">
        <v>28</v>
      </c>
      <c r="R52">
        <v>0.01</v>
      </c>
      <c r="S52" t="s">
        <v>17</v>
      </c>
      <c r="V52" t="str">
        <f>HYPERLINK("c:\users\omer\rl-qecc-data\2026-07-13_19-43-03\postProcessing.png","plot")</f>
        <v>plot</v>
      </c>
      <c r="W52" t="str">
        <f>HYPERLINK("c:\users\omer\rl-qecc-data\2026-07-13_19-43-03\experiment.txt","experiment.txt")</f>
        <v>experiment.txt</v>
      </c>
    </row>
    <row r="53" spans="8:23" x14ac:dyDescent="0.3">
      <c r="H53" t="s">
        <v>33</v>
      </c>
      <c r="I53">
        <v>314159</v>
      </c>
      <c r="J53" t="s">
        <v>22</v>
      </c>
      <c r="K53">
        <v>6</v>
      </c>
      <c r="M53" t="s">
        <v>26</v>
      </c>
      <c r="N53" t="s">
        <v>27</v>
      </c>
      <c r="O53">
        <v>0.1</v>
      </c>
      <c r="P53">
        <v>20</v>
      </c>
      <c r="Q53" t="s">
        <v>28</v>
      </c>
      <c r="R53">
        <v>0.01</v>
      </c>
      <c r="S53" t="s">
        <v>17</v>
      </c>
      <c r="V53" t="str">
        <f>HYPERLINK("c:\users\omer\rl-qecc-data\2026-07-13_19-43-41\postProcessing.png","plot")</f>
        <v>plot</v>
      </c>
      <c r="W53" t="str">
        <f>HYPERLINK("c:\users\omer\rl-qecc-data\2026-07-13_19-43-41\experiment.txt","experiment.txt")</f>
        <v>experiment.txt</v>
      </c>
    </row>
    <row r="54" spans="8:23" x14ac:dyDescent="0.3">
      <c r="H54" t="s">
        <v>34</v>
      </c>
      <c r="I54">
        <v>90110</v>
      </c>
      <c r="J54" t="s">
        <v>22</v>
      </c>
      <c r="K54">
        <v>6</v>
      </c>
      <c r="M54" t="s">
        <v>26</v>
      </c>
      <c r="N54" t="s">
        <v>27</v>
      </c>
      <c r="O54">
        <v>0.1</v>
      </c>
      <c r="P54">
        <v>20</v>
      </c>
      <c r="Q54" t="s">
        <v>28</v>
      </c>
      <c r="R54">
        <v>0.01</v>
      </c>
      <c r="S54" t="s">
        <v>17</v>
      </c>
      <c r="V54" t="str">
        <f>HYPERLINK("c:\users\omer\rl-qecc-data\2026-07-13_22-57-08\postProcessing.png","plot")</f>
        <v>plot</v>
      </c>
      <c r="W54" t="str">
        <f>HYPERLINK("c:\users\omer\rl-qecc-data\2026-07-13_22-57-08\experiment.txt","experiment.txt")</f>
        <v>experiment.txt</v>
      </c>
    </row>
    <row r="55" spans="8:23" x14ac:dyDescent="0.3">
      <c r="H55" t="s">
        <v>206</v>
      </c>
      <c r="I55">
        <v>444</v>
      </c>
      <c r="J55" t="s">
        <v>36</v>
      </c>
      <c r="K55">
        <v>1</v>
      </c>
      <c r="M55" t="s">
        <v>26</v>
      </c>
      <c r="N55" t="s">
        <v>27</v>
      </c>
      <c r="O55">
        <v>0.1</v>
      </c>
      <c r="P55">
        <v>20</v>
      </c>
      <c r="Q55" t="s">
        <v>28</v>
      </c>
      <c r="R55">
        <v>0.3</v>
      </c>
      <c r="S55" t="s">
        <v>17</v>
      </c>
      <c r="V55" t="str">
        <f>HYPERLINK("c:\users\omer\rl-qecc-data\2026-07-14_00-57-14\postProcessing.png","plot")</f>
        <v>plot</v>
      </c>
      <c r="W55" t="str">
        <f>HYPERLINK("c:\users\omer\rl-qecc-data\2026-07-14_00-57-14\experiment.txt","experiment.txt")</f>
        <v>experiment.txt</v>
      </c>
    </row>
    <row r="56" spans="8:23" x14ac:dyDescent="0.3">
      <c r="H56" t="s">
        <v>207</v>
      </c>
      <c r="I56">
        <v>8080</v>
      </c>
      <c r="J56" t="s">
        <v>24</v>
      </c>
      <c r="K56">
        <v>1</v>
      </c>
      <c r="M56" t="s">
        <v>26</v>
      </c>
      <c r="N56" t="s">
        <v>27</v>
      </c>
      <c r="O56">
        <v>0.1</v>
      </c>
      <c r="P56">
        <v>1</v>
      </c>
      <c r="Q56" t="s">
        <v>28</v>
      </c>
      <c r="R56">
        <v>0.3</v>
      </c>
      <c r="S56" t="s">
        <v>17</v>
      </c>
      <c r="V56" t="str">
        <f>HYPERLINK("c:\users\omer\rl-qecc-data\2026-07-14_01-00-13\postProcessing.png","plot")</f>
        <v>plot</v>
      </c>
      <c r="W56" t="str">
        <f>HYPERLINK("c:\users\omer\rl-qecc-data\2026-07-14_01-00-13\experiment.txt","experiment.txt")</f>
        <v>experiment.txt</v>
      </c>
    </row>
    <row r="57" spans="8:23" x14ac:dyDescent="0.3">
      <c r="H57" t="s">
        <v>35</v>
      </c>
      <c r="I57">
        <v>2</v>
      </c>
      <c r="J57" t="s">
        <v>36</v>
      </c>
      <c r="K57">
        <v>8</v>
      </c>
      <c r="M57" t="s">
        <v>26</v>
      </c>
      <c r="N57" t="s">
        <v>27</v>
      </c>
      <c r="O57">
        <v>0.1</v>
      </c>
      <c r="P57">
        <v>10</v>
      </c>
      <c r="Q57" t="s">
        <v>28</v>
      </c>
      <c r="R57">
        <v>3.0000000000000001E-3</v>
      </c>
      <c r="S57" t="s">
        <v>17</v>
      </c>
      <c r="V57" t="str">
        <f>HYPERLINK("c:\users\omer\rl-qecc-data\2026-07-14_21-41-33\postProcessing.png","plot")</f>
        <v>plot</v>
      </c>
      <c r="W57" t="str">
        <f>HYPERLINK("c:\users\omer\rl-qecc-data\2026-07-14_21-41-33\experiment.txt","experiment.txt")</f>
        <v>experiment.txt</v>
      </c>
    </row>
    <row r="58" spans="8:23" x14ac:dyDescent="0.3">
      <c r="H58" t="s">
        <v>37</v>
      </c>
      <c r="I58">
        <v>90210</v>
      </c>
      <c r="J58" t="s">
        <v>36</v>
      </c>
      <c r="K58">
        <v>8</v>
      </c>
      <c r="M58" t="s">
        <v>26</v>
      </c>
      <c r="N58" t="s">
        <v>27</v>
      </c>
      <c r="O58">
        <v>0.1</v>
      </c>
      <c r="P58">
        <v>10</v>
      </c>
      <c r="Q58" t="s">
        <v>28</v>
      </c>
      <c r="R58">
        <v>3.0000000000000001E-3</v>
      </c>
      <c r="S58" t="s">
        <v>17</v>
      </c>
      <c r="V58" t="str">
        <f>HYPERLINK("c:\users\omer\rl-qecc-data\2026-07-14_21-42-45\postProcessing.png","plot")</f>
        <v>plot</v>
      </c>
      <c r="W58" t="str">
        <f>HYPERLINK("c:\users\omer\rl-qecc-data\2026-07-14_21-42-45\experiment.txt","experiment.txt")</f>
        <v>experiment.txt</v>
      </c>
    </row>
    <row r="59" spans="8:23" x14ac:dyDescent="0.3">
      <c r="H59" t="s">
        <v>38</v>
      </c>
      <c r="I59">
        <v>466555</v>
      </c>
      <c r="J59" t="s">
        <v>36</v>
      </c>
      <c r="K59">
        <v>8</v>
      </c>
      <c r="M59" t="s">
        <v>26</v>
      </c>
      <c r="N59" t="s">
        <v>27</v>
      </c>
      <c r="O59">
        <v>0.1</v>
      </c>
      <c r="P59">
        <v>10</v>
      </c>
      <c r="Q59" t="s">
        <v>28</v>
      </c>
      <c r="R59">
        <v>3.0000000000000001E-3</v>
      </c>
      <c r="S59" t="s">
        <v>17</v>
      </c>
      <c r="V59" t="str">
        <f>HYPERLINK("c:\users\omer\rl-qecc-data\2026-07-14_21-42-52\postProcessing.png","plot")</f>
        <v>plot</v>
      </c>
      <c r="W59" t="str">
        <f>HYPERLINK("c:\users\omer\rl-qecc-data\2026-07-14_21-42-52\experiment.txt","experiment.txt")</f>
        <v>experiment.txt</v>
      </c>
    </row>
    <row r="60" spans="8:23" x14ac:dyDescent="0.3">
      <c r="H60" t="s">
        <v>39</v>
      </c>
      <c r="I60">
        <v>111</v>
      </c>
      <c r="J60" t="s">
        <v>36</v>
      </c>
      <c r="K60">
        <v>8</v>
      </c>
      <c r="M60" t="s">
        <v>26</v>
      </c>
      <c r="N60" t="s">
        <v>27</v>
      </c>
      <c r="O60">
        <v>0.1</v>
      </c>
      <c r="P60">
        <v>20</v>
      </c>
      <c r="Q60" t="s">
        <v>28</v>
      </c>
      <c r="R60">
        <v>3.0000000000000001E-3</v>
      </c>
      <c r="S60" t="s">
        <v>17</v>
      </c>
      <c r="V60" t="str">
        <f>HYPERLINK("c:\users\omer\rl-qecc-data\2026-07-14_21-58-14\postProcessing.png","plot")</f>
        <v>plot</v>
      </c>
      <c r="W60" t="str">
        <f>HYPERLINK("c:\users\omer\rl-qecc-data\2026-07-14_21-58-14\experiment.txt","experiment.txt")</f>
        <v>experiment.txt</v>
      </c>
    </row>
    <row r="61" spans="8:23" x14ac:dyDescent="0.3">
      <c r="H61" t="s">
        <v>40</v>
      </c>
      <c r="I61">
        <v>232323</v>
      </c>
      <c r="J61" t="s">
        <v>36</v>
      </c>
      <c r="K61">
        <v>8</v>
      </c>
      <c r="M61" t="s">
        <v>26</v>
      </c>
      <c r="N61" t="s">
        <v>27</v>
      </c>
      <c r="O61">
        <v>0.1</v>
      </c>
      <c r="P61">
        <v>20</v>
      </c>
      <c r="Q61" t="s">
        <v>28</v>
      </c>
      <c r="R61">
        <v>3.0000000000000001E-3</v>
      </c>
      <c r="S61" t="s">
        <v>17</v>
      </c>
      <c r="V61" t="str">
        <f>HYPERLINK("c:\users\omer\rl-qecc-data\2026-07-14_22-01-03\postProcessing.png","plot")</f>
        <v>plot</v>
      </c>
      <c r="W61" t="str">
        <f>HYPERLINK("c:\users\omer\rl-qecc-data\2026-07-14_22-01-03\experiment.txt","experiment.txt")</f>
        <v>experiment.txt</v>
      </c>
    </row>
    <row r="62" spans="8:23" x14ac:dyDescent="0.3">
      <c r="H62" t="s">
        <v>41</v>
      </c>
      <c r="I62">
        <v>123456</v>
      </c>
      <c r="J62" t="s">
        <v>36</v>
      </c>
      <c r="K62">
        <v>8</v>
      </c>
      <c r="M62" t="s">
        <v>26</v>
      </c>
      <c r="N62" t="s">
        <v>27</v>
      </c>
      <c r="O62">
        <v>0.1</v>
      </c>
      <c r="P62">
        <v>20</v>
      </c>
      <c r="Q62" t="s">
        <v>42</v>
      </c>
      <c r="R62">
        <v>3.0000000000000001E-3</v>
      </c>
      <c r="S62" t="s">
        <v>17</v>
      </c>
      <c r="V62" t="str">
        <f>HYPERLINK("c:\users\omer\rl-qecc-data\2026-07-14_23-23-00\postProcessing.png","plot")</f>
        <v>plot</v>
      </c>
      <c r="W62" t="str">
        <f>HYPERLINK("c:\users\omer\rl-qecc-data\2026-07-14_23-23-00\experiment.txt","experiment.txt")</f>
        <v>experiment.txt</v>
      </c>
    </row>
    <row r="63" spans="8:23" x14ac:dyDescent="0.3">
      <c r="H63" t="s">
        <v>43</v>
      </c>
      <c r="I63">
        <v>460101</v>
      </c>
      <c r="J63" t="s">
        <v>36</v>
      </c>
      <c r="K63">
        <v>8</v>
      </c>
      <c r="M63" t="s">
        <v>26</v>
      </c>
      <c r="N63" t="s">
        <v>27</v>
      </c>
      <c r="O63">
        <v>0.1</v>
      </c>
      <c r="P63">
        <v>10</v>
      </c>
      <c r="Q63" t="s">
        <v>28</v>
      </c>
      <c r="R63">
        <v>3.0000000000000001E-3</v>
      </c>
      <c r="S63" t="s">
        <v>17</v>
      </c>
      <c r="V63" t="str">
        <f>HYPERLINK("c:\users\omer\rl-qecc-data\2026-07-15_06-24-42\postProcessing.png","plot")</f>
        <v>plot</v>
      </c>
      <c r="W63" t="str">
        <f>HYPERLINK("c:\users\omer\rl-qecc-data\2026-07-15_06-24-42\experiment.txt","experiment.txt")</f>
        <v>experiment.txt</v>
      </c>
    </row>
    <row r="64" spans="8:23" x14ac:dyDescent="0.3">
      <c r="H64" t="s">
        <v>44</v>
      </c>
      <c r="I64">
        <v>460101</v>
      </c>
      <c r="J64" t="s">
        <v>36</v>
      </c>
      <c r="K64">
        <v>8</v>
      </c>
      <c r="M64" t="s">
        <v>26</v>
      </c>
      <c r="N64" t="s">
        <v>27</v>
      </c>
      <c r="O64">
        <v>0.1</v>
      </c>
      <c r="P64">
        <v>10</v>
      </c>
      <c r="Q64" t="s">
        <v>42</v>
      </c>
      <c r="R64">
        <v>3.0000000000000001E-3</v>
      </c>
      <c r="S64" t="s">
        <v>17</v>
      </c>
      <c r="V64" t="str">
        <f>HYPERLINK("c:\users\omer\rl-qecc-data\2026-07-15_07-12-39\postProcessing.png","plot")</f>
        <v>plot</v>
      </c>
      <c r="W64" t="str">
        <f>HYPERLINK("c:\users\omer\rl-qecc-data\2026-07-15_07-12-39\experiment.txt","experiment.txt")</f>
        <v>experiment.txt</v>
      </c>
    </row>
    <row r="65" spans="8:23" x14ac:dyDescent="0.3">
      <c r="H65" t="s">
        <v>45</v>
      </c>
      <c r="I65">
        <v>232323</v>
      </c>
      <c r="J65" t="s">
        <v>36</v>
      </c>
      <c r="K65">
        <v>8</v>
      </c>
      <c r="M65" t="s">
        <v>26</v>
      </c>
      <c r="N65" t="s">
        <v>27</v>
      </c>
      <c r="O65">
        <v>0.1</v>
      </c>
      <c r="P65">
        <v>10</v>
      </c>
      <c r="Q65" t="s">
        <v>42</v>
      </c>
      <c r="R65">
        <v>3.0000000000000001E-3</v>
      </c>
      <c r="S65" t="s">
        <v>17</v>
      </c>
      <c r="V65" t="str">
        <f>HYPERLINK("c:\users\omer\rl-qecc-data\2026-07-15_13-49-55\postProcessing.png","plot")</f>
        <v>plot</v>
      </c>
      <c r="W65" t="str">
        <f>HYPERLINK("c:\users\omer\rl-qecc-data\2026-07-15_13-49-55\experiment.txt","experiment.txt")</f>
        <v>experiment.txt</v>
      </c>
    </row>
    <row r="66" spans="8:23" x14ac:dyDescent="0.3">
      <c r="H66" t="s">
        <v>46</v>
      </c>
      <c r="I66">
        <v>460101</v>
      </c>
      <c r="J66" t="s">
        <v>36</v>
      </c>
      <c r="K66">
        <v>8</v>
      </c>
      <c r="M66" t="s">
        <v>26</v>
      </c>
      <c r="N66" t="s">
        <v>27</v>
      </c>
      <c r="O66">
        <v>0.1</v>
      </c>
      <c r="P66">
        <v>20</v>
      </c>
      <c r="Q66" t="s">
        <v>47</v>
      </c>
      <c r="R66">
        <v>3.0000000000000001E-3</v>
      </c>
      <c r="S66" t="s">
        <v>17</v>
      </c>
      <c r="V66" t="str">
        <f>HYPERLINK("c:\users\omer\rl-qecc-data\2026-07-15_14-55-03_3158085\postProcessing.png","plot")</f>
        <v>plot</v>
      </c>
      <c r="W66" t="str">
        <f>HYPERLINK("c:\users\omer\rl-qecc-data\2026-07-15_14-55-03_3158085\experiment.txt","experiment.txt")</f>
        <v>experiment.txt</v>
      </c>
    </row>
    <row r="67" spans="8:23" x14ac:dyDescent="0.3">
      <c r="H67" t="s">
        <v>48</v>
      </c>
      <c r="I67">
        <v>111</v>
      </c>
      <c r="J67" t="s">
        <v>36</v>
      </c>
      <c r="K67">
        <v>8</v>
      </c>
      <c r="M67" t="s">
        <v>26</v>
      </c>
      <c r="N67" t="s">
        <v>27</v>
      </c>
      <c r="O67">
        <v>0.1</v>
      </c>
      <c r="P67">
        <v>10</v>
      </c>
      <c r="Q67" t="s">
        <v>42</v>
      </c>
      <c r="R67">
        <v>3.0000000000000001E-3</v>
      </c>
      <c r="S67" t="s">
        <v>17</v>
      </c>
      <c r="V67" t="str">
        <f>HYPERLINK("c:\users\omer\rl-qecc-data\2026-07-15_15-19-50_184940\postProcessing.png","plot")</f>
        <v>plot</v>
      </c>
      <c r="W67" t="str">
        <f>HYPERLINK("c:\users\omer\rl-qecc-data\2026-07-15_15-19-50_184940\experiment.txt","experiment.txt")</f>
        <v>experiment.txt</v>
      </c>
    </row>
    <row r="68" spans="8:23" x14ac:dyDescent="0.3">
      <c r="H68" t="s">
        <v>49</v>
      </c>
      <c r="I68">
        <v>2</v>
      </c>
      <c r="J68" t="s">
        <v>36</v>
      </c>
      <c r="K68">
        <v>8</v>
      </c>
      <c r="M68" t="s">
        <v>26</v>
      </c>
      <c r="N68" t="s">
        <v>27</v>
      </c>
      <c r="O68">
        <v>0.1</v>
      </c>
      <c r="P68">
        <v>10</v>
      </c>
      <c r="Q68" t="s">
        <v>42</v>
      </c>
      <c r="R68">
        <v>3.0000000000000001E-3</v>
      </c>
      <c r="S68" t="s">
        <v>17</v>
      </c>
      <c r="V68" t="str">
        <f>HYPERLINK("c:\users\omer\rl-qecc-data\2026-07-15_15-53-06_3953074\postProcessing.png","plot")</f>
        <v>plot</v>
      </c>
      <c r="W68" t="str">
        <f>HYPERLINK("c:\users\omer\rl-qecc-data\2026-07-15_15-53-06_3953074\experiment.txt","experiment.txt")</f>
        <v>experiment.txt</v>
      </c>
    </row>
    <row r="69" spans="8:23" x14ac:dyDescent="0.3">
      <c r="H69" t="s">
        <v>50</v>
      </c>
      <c r="I69">
        <v>232323</v>
      </c>
      <c r="J69" t="s">
        <v>51</v>
      </c>
      <c r="K69">
        <v>8</v>
      </c>
      <c r="M69" t="s">
        <v>26</v>
      </c>
      <c r="N69" t="s">
        <v>27</v>
      </c>
      <c r="O69">
        <v>1</v>
      </c>
      <c r="P69">
        <v>0</v>
      </c>
      <c r="Q69" t="s">
        <v>42</v>
      </c>
      <c r="R69">
        <v>3.0000000000000001E-3</v>
      </c>
      <c r="S69" t="s">
        <v>17</v>
      </c>
      <c r="V69" t="str">
        <f>HYPERLINK("c:\users\omer\rl-qecc-data\2026-07-15_20-20-03_3795808\postProcessing.png","plot")</f>
        <v>plot</v>
      </c>
      <c r="W69" t="str">
        <f>HYPERLINK("c:\users\omer\rl-qecc-data\2026-07-15_20-20-03_3795808\experiment.txt","experiment.txt")</f>
        <v>experiment.txt</v>
      </c>
    </row>
    <row r="70" spans="8:23" x14ac:dyDescent="0.3">
      <c r="H70" t="s">
        <v>52</v>
      </c>
      <c r="I70">
        <v>2</v>
      </c>
      <c r="J70" t="s">
        <v>51</v>
      </c>
      <c r="K70">
        <v>10</v>
      </c>
      <c r="M70" t="s">
        <v>26</v>
      </c>
      <c r="N70" t="s">
        <v>27</v>
      </c>
      <c r="O70">
        <v>0.1</v>
      </c>
      <c r="P70">
        <v>10</v>
      </c>
      <c r="Q70" t="s">
        <v>42</v>
      </c>
      <c r="R70">
        <v>3.0000000000000001E-3</v>
      </c>
      <c r="S70" t="s">
        <v>17</v>
      </c>
      <c r="V70" t="str">
        <f>HYPERLINK("c:\users\omer\rl-qecc-data\2026-07-15_22-42-29_3273591\postProcessing.png","plot")</f>
        <v>plot</v>
      </c>
      <c r="W70" t="str">
        <f>HYPERLINK("c:\users\omer\rl-qecc-data\2026-07-15_22-42-29_3273591\experiment.txt","experiment.txt")</f>
        <v>experiment.txt</v>
      </c>
    </row>
    <row r="71" spans="8:23" x14ac:dyDescent="0.3">
      <c r="H71" t="s">
        <v>53</v>
      </c>
      <c r="I71">
        <v>232323</v>
      </c>
      <c r="J71" t="s">
        <v>51</v>
      </c>
      <c r="K71">
        <v>10</v>
      </c>
      <c r="M71" t="s">
        <v>26</v>
      </c>
      <c r="N71" t="s">
        <v>27</v>
      </c>
      <c r="O71">
        <v>0.1</v>
      </c>
      <c r="P71">
        <v>10</v>
      </c>
      <c r="Q71" t="s">
        <v>42</v>
      </c>
      <c r="R71">
        <v>3.0000000000000001E-3</v>
      </c>
      <c r="S71" t="s">
        <v>17</v>
      </c>
      <c r="V71" t="str">
        <f>HYPERLINK("c:\users\omer\rl-qecc-data\2026-07-15_23-52-37_217901\postProcessing.png","plot")</f>
        <v>plot</v>
      </c>
      <c r="W71" t="str">
        <f>HYPERLINK("c:\users\omer\rl-qecc-data\2026-07-15_23-52-37_217901\experiment.txt","experiment.txt")</f>
        <v>experiment.txt</v>
      </c>
    </row>
    <row r="72" spans="8:23" x14ac:dyDescent="0.3">
      <c r="H72" t="s">
        <v>54</v>
      </c>
      <c r="I72">
        <v>123456</v>
      </c>
      <c r="J72" t="s">
        <v>36</v>
      </c>
      <c r="K72">
        <v>8</v>
      </c>
      <c r="M72" t="s">
        <v>26</v>
      </c>
      <c r="N72" t="s">
        <v>27</v>
      </c>
      <c r="O72">
        <v>1</v>
      </c>
      <c r="P72">
        <v>0</v>
      </c>
      <c r="Q72" t="s">
        <v>42</v>
      </c>
      <c r="R72">
        <v>3.0000000000000001E-3</v>
      </c>
      <c r="S72" t="s">
        <v>17</v>
      </c>
      <c r="V72" t="str">
        <f>HYPERLINK("c:\users\omer\rl-qecc-data\2026-07-16_00-29-11_3987924\postProcessing.png","plot")</f>
        <v>plot</v>
      </c>
      <c r="W72" t="str">
        <f>HYPERLINK("c:\users\omer\rl-qecc-data\2026-07-16_00-29-11_3987924\experiment.txt","experiment.txt")</f>
        <v>experiment.txt</v>
      </c>
    </row>
    <row r="73" spans="8:23" x14ac:dyDescent="0.3">
      <c r="H73" t="s">
        <v>55</v>
      </c>
      <c r="I73">
        <v>99999</v>
      </c>
      <c r="J73" t="s">
        <v>51</v>
      </c>
      <c r="K73">
        <v>8</v>
      </c>
      <c r="M73" t="s">
        <v>26</v>
      </c>
      <c r="N73" t="s">
        <v>27</v>
      </c>
      <c r="O73">
        <v>1</v>
      </c>
      <c r="P73">
        <v>0</v>
      </c>
      <c r="Q73" t="s">
        <v>42</v>
      </c>
      <c r="R73">
        <v>3.0000000000000001E-3</v>
      </c>
      <c r="S73" t="s">
        <v>17</v>
      </c>
      <c r="V73" t="str">
        <f>HYPERLINK("c:\users\omer\rl-qecc-data\2026-07-16_04-37-43_3843084\postProcessing.png","plot")</f>
        <v>plot</v>
      </c>
      <c r="W73" t="str">
        <f>HYPERLINK("c:\users\omer\rl-qecc-data\2026-07-16_04-37-43_3843084\experiment.txt","experiment.txt")</f>
        <v>experiment.txt</v>
      </c>
    </row>
    <row r="74" spans="8:23" x14ac:dyDescent="0.3">
      <c r="H74" t="s">
        <v>56</v>
      </c>
      <c r="I74">
        <v>90210</v>
      </c>
      <c r="J74" t="s">
        <v>36</v>
      </c>
      <c r="K74">
        <v>8</v>
      </c>
      <c r="M74" t="s">
        <v>26</v>
      </c>
      <c r="N74" t="s">
        <v>27</v>
      </c>
      <c r="O74">
        <v>1</v>
      </c>
      <c r="P74">
        <v>0</v>
      </c>
      <c r="Q74" t="s">
        <v>42</v>
      </c>
      <c r="R74">
        <v>3.0000000000000001E-3</v>
      </c>
      <c r="S74" t="s">
        <v>17</v>
      </c>
      <c r="V74" t="str">
        <f>HYPERLINK("c:\users\omer\rl-qecc-data\2026-07-16_07-19-26_3308483\postProcessing.png","plot")</f>
        <v>plot</v>
      </c>
      <c r="W74" t="str">
        <f>HYPERLINK("c:\users\omer\rl-qecc-data\2026-07-16_07-19-26_3308483\experiment.txt","experiment.txt")</f>
        <v>experiment.txt</v>
      </c>
    </row>
    <row r="75" spans="8:23" x14ac:dyDescent="0.3">
      <c r="H75" t="s">
        <v>57</v>
      </c>
      <c r="I75">
        <v>466555</v>
      </c>
      <c r="J75" t="s">
        <v>36</v>
      </c>
      <c r="K75">
        <v>8</v>
      </c>
      <c r="M75" t="s">
        <v>26</v>
      </c>
      <c r="N75" t="s">
        <v>27</v>
      </c>
      <c r="O75">
        <v>1</v>
      </c>
      <c r="P75">
        <v>0</v>
      </c>
      <c r="Q75" t="s">
        <v>42</v>
      </c>
      <c r="R75">
        <v>3.0000000000000001E-3</v>
      </c>
      <c r="S75" t="s">
        <v>17</v>
      </c>
      <c r="V75" t="str">
        <f>HYPERLINK("c:\users\omer\rl-qecc-data\2026-07-16_08-19-58_252676\postProcessing.png","plot")</f>
        <v>plot</v>
      </c>
      <c r="W75" t="str">
        <f>HYPERLINK("c:\users\omer\rl-qecc-data\2026-07-16_08-19-58_252676\experiment.txt","experiment.txt")</f>
        <v>experiment.txt</v>
      </c>
    </row>
    <row r="76" spans="8:23" x14ac:dyDescent="0.3">
      <c r="H76" t="s">
        <v>58</v>
      </c>
      <c r="I76">
        <v>101010</v>
      </c>
      <c r="J76" t="s">
        <v>36</v>
      </c>
      <c r="K76">
        <v>8</v>
      </c>
      <c r="M76" t="s">
        <v>26</v>
      </c>
      <c r="N76" t="s">
        <v>27</v>
      </c>
      <c r="O76">
        <v>1</v>
      </c>
      <c r="P76">
        <v>0</v>
      </c>
      <c r="Q76" t="s">
        <v>42</v>
      </c>
      <c r="R76">
        <v>3.0000000000000001E-3</v>
      </c>
      <c r="S76" t="s">
        <v>17</v>
      </c>
      <c r="V76" t="str">
        <f>HYPERLINK("c:\users\omer\rl-qecc-data\2026-07-16_09-14-26_4022547\postProcessing.png","plot")</f>
        <v>plot</v>
      </c>
      <c r="W76" t="str">
        <f>HYPERLINK("c:\users\omer\rl-qecc-data\2026-07-16_09-14-26_4022547\experiment.txt","experiment.txt")</f>
        <v>experiment.txt</v>
      </c>
    </row>
    <row r="77" spans="8:23" x14ac:dyDescent="0.3">
      <c r="H77" t="s">
        <v>59</v>
      </c>
      <c r="I77">
        <v>101010</v>
      </c>
      <c r="J77" t="s">
        <v>36</v>
      </c>
      <c r="K77">
        <v>8</v>
      </c>
      <c r="M77" t="s">
        <v>26</v>
      </c>
      <c r="N77" t="s">
        <v>27</v>
      </c>
      <c r="O77">
        <v>0.1</v>
      </c>
      <c r="P77">
        <v>50</v>
      </c>
      <c r="Q77" t="s">
        <v>42</v>
      </c>
      <c r="R77">
        <v>3.0000000000000001E-3</v>
      </c>
      <c r="S77" t="s">
        <v>17</v>
      </c>
      <c r="V77" t="str">
        <f>HYPERLINK("c:\users\omer\rl-qecc-data\2026-07-16_17-17-14_3346485\postProcessing.png","plot")</f>
        <v>plot</v>
      </c>
      <c r="W77" t="str">
        <f>HYPERLINK("c:\users\omer\rl-qecc-data\2026-07-16_17-17-14_3346485\experiment.txt","experiment.txt")</f>
        <v>experiment.txt</v>
      </c>
    </row>
    <row r="78" spans="8:23" x14ac:dyDescent="0.3">
      <c r="H78" t="s">
        <v>60</v>
      </c>
      <c r="I78">
        <v>111</v>
      </c>
      <c r="J78" t="s">
        <v>36</v>
      </c>
      <c r="K78">
        <v>8</v>
      </c>
      <c r="M78" t="s">
        <v>26</v>
      </c>
      <c r="N78" t="s">
        <v>27</v>
      </c>
      <c r="O78">
        <v>0.1</v>
      </c>
      <c r="P78">
        <v>50</v>
      </c>
      <c r="Q78" t="s">
        <v>42</v>
      </c>
      <c r="R78">
        <v>3.0000000000000001E-3</v>
      </c>
      <c r="S78" t="s">
        <v>17</v>
      </c>
      <c r="V78" t="str">
        <f>HYPERLINK("c:\users\omer\rl-qecc-data\2026-07-16_17-31-22_288767\postProcessing.png","plot")</f>
        <v>plot</v>
      </c>
      <c r="W78" t="str">
        <f>HYPERLINK("c:\users\omer\rl-qecc-data\2026-07-16_17-31-22_288767\experiment.txt","experiment.txt")</f>
        <v>experiment.txt</v>
      </c>
    </row>
    <row r="79" spans="8:23" x14ac:dyDescent="0.3">
      <c r="H79" t="s">
        <v>62</v>
      </c>
      <c r="I79">
        <v>22222222</v>
      </c>
      <c r="J79" t="s">
        <v>22</v>
      </c>
      <c r="K79">
        <v>6</v>
      </c>
      <c r="M79" t="s">
        <v>26</v>
      </c>
      <c r="N79" t="s">
        <v>27</v>
      </c>
      <c r="O79">
        <v>0.1</v>
      </c>
      <c r="P79">
        <v>20</v>
      </c>
      <c r="Q79" t="s">
        <v>28</v>
      </c>
      <c r="R79">
        <v>0.01</v>
      </c>
      <c r="S79" t="s">
        <v>17</v>
      </c>
      <c r="V79" t="str">
        <f>HYPERLINK("c:\users\omer\rl-qecc-data\2026-07-22_14-57-19_253968\postProcessing.png","plot")</f>
        <v>plot</v>
      </c>
      <c r="W79" t="str">
        <f>HYPERLINK("c:\users\omer\rl-qecc-data\2026-07-22_14-57-19_253968\experiment.txt","experiment.txt")</f>
        <v>experiment.txt</v>
      </c>
    </row>
    <row r="80" spans="8:23" x14ac:dyDescent="0.3">
      <c r="H80" t="s">
        <v>63</v>
      </c>
      <c r="I80">
        <v>90110</v>
      </c>
      <c r="J80" t="s">
        <v>22</v>
      </c>
      <c r="K80">
        <v>6</v>
      </c>
      <c r="M80" t="s">
        <v>26</v>
      </c>
      <c r="N80" t="s">
        <v>27</v>
      </c>
      <c r="O80">
        <v>0.1</v>
      </c>
      <c r="P80">
        <v>20</v>
      </c>
      <c r="Q80" t="s">
        <v>28</v>
      </c>
      <c r="R80">
        <v>0.01</v>
      </c>
      <c r="S80" t="s">
        <v>17</v>
      </c>
      <c r="V80" t="str">
        <f>HYPERLINK("c:\users\omer\rl-qecc-data\2026-07-22_14-57-19_681200\postProcessing.png","plot")</f>
        <v>plot</v>
      </c>
      <c r="W80" t="str">
        <f>HYPERLINK("c:\users\omer\rl-qecc-data\2026-07-22_14-57-19_681200\experiment.txt","experiment.txt")</f>
        <v>experiment.txt</v>
      </c>
    </row>
    <row r="81" spans="8:23" x14ac:dyDescent="0.3">
      <c r="H81" t="s">
        <v>64</v>
      </c>
      <c r="I81">
        <v>1001</v>
      </c>
      <c r="J81" t="s">
        <v>22</v>
      </c>
      <c r="K81">
        <v>12</v>
      </c>
      <c r="M81" t="s">
        <v>26</v>
      </c>
      <c r="N81" t="s">
        <v>27</v>
      </c>
      <c r="O81">
        <v>0.1</v>
      </c>
      <c r="P81">
        <v>0</v>
      </c>
      <c r="Q81" t="s">
        <v>42</v>
      </c>
      <c r="R81">
        <v>3.0000000000000001E-3</v>
      </c>
      <c r="S81" t="s">
        <v>17</v>
      </c>
      <c r="V81" t="str">
        <f>HYPERLINK("c:\users\omer\rl-qecc-data\2026-07-22_19-18-43_3744902\postProcessing.png","plot")</f>
        <v>plot</v>
      </c>
      <c r="W81" t="str">
        <f>HYPERLINK("c:\users\omer\rl-qecc-data\2026-07-22_19-18-43_3744902\experiment.txt","experiment.txt")</f>
        <v>experiment.txt</v>
      </c>
    </row>
    <row r="82" spans="8:23" x14ac:dyDescent="0.3">
      <c r="H82" t="s">
        <v>65</v>
      </c>
      <c r="I82">
        <v>2002</v>
      </c>
      <c r="J82" t="s">
        <v>22</v>
      </c>
      <c r="K82">
        <v>12</v>
      </c>
      <c r="M82" t="s">
        <v>26</v>
      </c>
      <c r="N82" t="s">
        <v>27</v>
      </c>
      <c r="O82">
        <v>0.1</v>
      </c>
      <c r="P82">
        <v>0</v>
      </c>
      <c r="Q82" t="s">
        <v>42</v>
      </c>
      <c r="R82">
        <v>3.0000000000000001E-3</v>
      </c>
      <c r="S82" t="s">
        <v>17</v>
      </c>
      <c r="V82" t="str">
        <f>HYPERLINK("c:\users\omer\rl-qecc-data\2026-07-22_19-18-43_3745017\postProcessing.png","plot")</f>
        <v>plot</v>
      </c>
      <c r="W82" t="str">
        <f>HYPERLINK("c:\users\omer\rl-qecc-data\2026-07-22_19-18-43_3745017\experiment.txt","experiment.txt")</f>
        <v>experiment.txt</v>
      </c>
    </row>
    <row r="83" spans="8:23" x14ac:dyDescent="0.3">
      <c r="H83" t="s">
        <v>66</v>
      </c>
      <c r="I83">
        <v>3003</v>
      </c>
      <c r="J83" t="s">
        <v>22</v>
      </c>
      <c r="K83">
        <v>12</v>
      </c>
      <c r="M83" t="s">
        <v>26</v>
      </c>
      <c r="N83" t="s">
        <v>27</v>
      </c>
      <c r="O83">
        <v>0.1</v>
      </c>
      <c r="P83">
        <v>0</v>
      </c>
      <c r="Q83" t="s">
        <v>42</v>
      </c>
      <c r="R83">
        <v>3.0000000000000001E-3</v>
      </c>
      <c r="S83" t="s">
        <v>17</v>
      </c>
      <c r="V83" t="str">
        <f>HYPERLINK("c:\users\omer\rl-qecc-data\2026-07-22_19-18-43_3745112\postProcessing.png","plot")</f>
        <v>plot</v>
      </c>
      <c r="W83" t="str">
        <f>HYPERLINK("c:\users\omer\rl-qecc-data\2026-07-22_19-18-43_3745112\experiment.txt","experiment.txt")</f>
        <v>experiment.txt</v>
      </c>
    </row>
    <row r="84" spans="8:23" x14ac:dyDescent="0.3">
      <c r="H84" t="s">
        <v>67</v>
      </c>
      <c r="I84">
        <v>5005</v>
      </c>
      <c r="J84" t="s">
        <v>22</v>
      </c>
      <c r="K84">
        <v>12</v>
      </c>
      <c r="M84" t="s">
        <v>26</v>
      </c>
      <c r="N84" t="s">
        <v>27</v>
      </c>
      <c r="O84">
        <v>0.1</v>
      </c>
      <c r="P84">
        <v>0</v>
      </c>
      <c r="Q84" t="s">
        <v>42</v>
      </c>
      <c r="R84">
        <v>3.0000000000000001E-3</v>
      </c>
      <c r="S84" t="s">
        <v>17</v>
      </c>
      <c r="V84" t="str">
        <f>HYPERLINK("c:\users\omer\rl-qecc-data\2026-07-22_20-18-47_276717\postProcessing.png","plot")</f>
        <v>plot</v>
      </c>
      <c r="W84" t="str">
        <f>HYPERLINK("c:\users\omer\rl-qecc-data\2026-07-22_20-18-47_276717\experiment.txt","experiment.txt")</f>
        <v>experiment.txt</v>
      </c>
    </row>
    <row r="85" spans="8:23" x14ac:dyDescent="0.3">
      <c r="H85" t="s">
        <v>68</v>
      </c>
      <c r="I85">
        <v>4004</v>
      </c>
      <c r="J85" t="s">
        <v>22</v>
      </c>
      <c r="K85">
        <v>12</v>
      </c>
      <c r="M85" t="s">
        <v>26</v>
      </c>
      <c r="N85" t="s">
        <v>27</v>
      </c>
      <c r="O85">
        <v>0.1</v>
      </c>
      <c r="P85">
        <v>0</v>
      </c>
      <c r="Q85" t="s">
        <v>42</v>
      </c>
      <c r="R85">
        <v>3.0000000000000001E-3</v>
      </c>
      <c r="S85" t="s">
        <v>17</v>
      </c>
      <c r="V85" t="str">
        <f>HYPERLINK("c:\users\omer\rl-qecc-data\2026-07-22_20-18-47_276848\postProcessing.png","plot")</f>
        <v>plot</v>
      </c>
      <c r="W85" t="str">
        <f>HYPERLINK("c:\users\omer\rl-qecc-data\2026-07-22_20-18-47_276848\experiment.txt","experiment.txt")</f>
        <v>experiment.txt</v>
      </c>
    </row>
    <row r="86" spans="8:23" x14ac:dyDescent="0.3">
      <c r="H86" t="s">
        <v>69</v>
      </c>
      <c r="I86">
        <v>6006</v>
      </c>
      <c r="J86" t="s">
        <v>22</v>
      </c>
      <c r="K86">
        <v>12</v>
      </c>
      <c r="M86" t="s">
        <v>26</v>
      </c>
      <c r="N86" t="s">
        <v>27</v>
      </c>
      <c r="O86">
        <v>0.1</v>
      </c>
      <c r="P86">
        <v>0</v>
      </c>
      <c r="Q86" t="s">
        <v>42</v>
      </c>
      <c r="R86">
        <v>3.0000000000000001E-3</v>
      </c>
      <c r="S86" t="s">
        <v>17</v>
      </c>
      <c r="V86" t="str">
        <f>HYPERLINK("c:\users\omer\rl-qecc-data\2026-07-22_20-18-47_276927\postProcessing.png","plot")</f>
        <v>plot</v>
      </c>
      <c r="W86" t="str">
        <f>HYPERLINK("c:\users\omer\rl-qecc-data\2026-07-22_20-18-47_276927\experiment.txt","experiment.txt")</f>
        <v>experiment.txt</v>
      </c>
    </row>
    <row r="87" spans="8:23" x14ac:dyDescent="0.3">
      <c r="H87" t="s">
        <v>70</v>
      </c>
      <c r="I87">
        <v>2002</v>
      </c>
      <c r="J87" t="s">
        <v>22</v>
      </c>
      <c r="K87">
        <v>12</v>
      </c>
      <c r="M87" t="s">
        <v>26</v>
      </c>
      <c r="N87" t="s">
        <v>27</v>
      </c>
      <c r="O87">
        <v>0.1</v>
      </c>
      <c r="P87">
        <v>10</v>
      </c>
      <c r="Q87" t="s">
        <v>42</v>
      </c>
      <c r="R87">
        <v>3.0000000000000001E-3</v>
      </c>
      <c r="S87" t="s">
        <v>17</v>
      </c>
      <c r="V87" t="str">
        <f>HYPERLINK("c:\users\omer\rl-qecc-data\2026-07-22_20-21-11_704765\postProcessing.png","plot")</f>
        <v>plot</v>
      </c>
      <c r="W87" t="str">
        <f>HYPERLINK("c:\users\omer\rl-qecc-data\2026-07-22_20-21-11_704765\experiment.txt","experiment.txt")</f>
        <v>experiment.txt</v>
      </c>
    </row>
    <row r="88" spans="8:23" x14ac:dyDescent="0.3">
      <c r="H88" t="s">
        <v>71</v>
      </c>
      <c r="I88">
        <v>1001</v>
      </c>
      <c r="J88" t="s">
        <v>22</v>
      </c>
      <c r="K88">
        <v>12</v>
      </c>
      <c r="M88" t="s">
        <v>26</v>
      </c>
      <c r="N88" t="s">
        <v>27</v>
      </c>
      <c r="O88">
        <v>0.1</v>
      </c>
      <c r="P88">
        <v>10</v>
      </c>
      <c r="Q88" t="s">
        <v>42</v>
      </c>
      <c r="R88">
        <v>3.0000000000000001E-3</v>
      </c>
      <c r="S88" t="s">
        <v>17</v>
      </c>
      <c r="V88" t="str">
        <f>HYPERLINK("c:\users\omer\rl-qecc-data\2026-07-22_20-21-11_704843\postProcessing.png","plot")</f>
        <v>plot</v>
      </c>
      <c r="W88" t="str">
        <f>HYPERLINK("c:\users\omer\rl-qecc-data\2026-07-22_20-21-11_704843\experiment.txt","experiment.txt")</f>
        <v>experiment.txt</v>
      </c>
    </row>
    <row r="89" spans="8:23" x14ac:dyDescent="0.3">
      <c r="H89" t="s">
        <v>72</v>
      </c>
      <c r="I89">
        <v>3003</v>
      </c>
      <c r="J89" t="s">
        <v>22</v>
      </c>
      <c r="K89">
        <v>12</v>
      </c>
      <c r="M89" t="s">
        <v>26</v>
      </c>
      <c r="N89" t="s">
        <v>27</v>
      </c>
      <c r="O89">
        <v>0.1</v>
      </c>
      <c r="P89">
        <v>10</v>
      </c>
      <c r="Q89" t="s">
        <v>42</v>
      </c>
      <c r="R89">
        <v>3.0000000000000001E-3</v>
      </c>
      <c r="S89" t="s">
        <v>17</v>
      </c>
      <c r="V89" t="str">
        <f>HYPERLINK("c:\users\omer\rl-qecc-data\2026-07-23_02-39-30_730126\postProcessing.png","plot")</f>
        <v>plot</v>
      </c>
      <c r="W89" t="str">
        <f>HYPERLINK("c:\users\omer\rl-qecc-data\2026-07-23_02-39-30_730126\experiment.txt","experiment.txt")</f>
        <v>experiment.txt</v>
      </c>
    </row>
    <row r="90" spans="8:23" x14ac:dyDescent="0.3">
      <c r="H90" t="s">
        <v>73</v>
      </c>
      <c r="I90">
        <v>4004</v>
      </c>
      <c r="J90" t="s">
        <v>22</v>
      </c>
      <c r="K90">
        <v>12</v>
      </c>
      <c r="M90" t="s">
        <v>26</v>
      </c>
      <c r="N90" t="s">
        <v>27</v>
      </c>
      <c r="O90">
        <v>0.1</v>
      </c>
      <c r="P90">
        <v>10</v>
      </c>
      <c r="Q90" t="s">
        <v>42</v>
      </c>
      <c r="R90">
        <v>3.0000000000000001E-3</v>
      </c>
      <c r="S90" t="s">
        <v>17</v>
      </c>
      <c r="V90" t="str">
        <f>HYPERLINK("c:\users\omer\rl-qecc-data\2026-07-23_02-43-47_3614886\postProcessing.png","plot")</f>
        <v>plot</v>
      </c>
      <c r="W90" t="str">
        <f>HYPERLINK("c:\users\omer\rl-qecc-data\2026-07-23_02-43-47_3614886\experiment.txt","experiment.txt")</f>
        <v>experiment.txt</v>
      </c>
    </row>
    <row r="91" spans="8:23" x14ac:dyDescent="0.3">
      <c r="H91" t="s">
        <v>74</v>
      </c>
      <c r="I91">
        <v>5005</v>
      </c>
      <c r="J91" t="s">
        <v>22</v>
      </c>
      <c r="K91">
        <v>12</v>
      </c>
      <c r="M91" t="s">
        <v>26</v>
      </c>
      <c r="N91" t="s">
        <v>27</v>
      </c>
      <c r="O91">
        <v>0.1</v>
      </c>
      <c r="P91">
        <v>10</v>
      </c>
      <c r="Q91" t="s">
        <v>42</v>
      </c>
      <c r="R91">
        <v>3.0000000000000001E-3</v>
      </c>
      <c r="S91" t="s">
        <v>17</v>
      </c>
      <c r="V91" t="str">
        <f>HYPERLINK("c:\users\omer\rl-qecc-data\2026-07-23_02-43-47_3615829\postProcessing.png","plot")</f>
        <v>plot</v>
      </c>
      <c r="W91" t="str">
        <f>HYPERLINK("c:\users\omer\rl-qecc-data\2026-07-23_02-43-47_3615829\experiment.txt","experiment.txt")</f>
        <v>experiment.txt</v>
      </c>
    </row>
    <row r="92" spans="8:23" x14ac:dyDescent="0.3">
      <c r="H92" t="s">
        <v>75</v>
      </c>
      <c r="I92">
        <v>6006</v>
      </c>
      <c r="J92" t="s">
        <v>22</v>
      </c>
      <c r="K92">
        <v>12</v>
      </c>
      <c r="M92" t="s">
        <v>26</v>
      </c>
      <c r="N92" t="s">
        <v>27</v>
      </c>
      <c r="O92">
        <v>0.1</v>
      </c>
      <c r="P92">
        <v>10</v>
      </c>
      <c r="Q92" t="s">
        <v>42</v>
      </c>
      <c r="R92">
        <v>3.0000000000000001E-3</v>
      </c>
      <c r="S92" t="s">
        <v>17</v>
      </c>
      <c r="V92" t="str">
        <f>HYPERLINK("c:\users\omer\rl-qecc-data\2026-07-23_03-19-24_733258\postProcessing.png","plot")</f>
        <v>plot</v>
      </c>
      <c r="W92" t="str">
        <f>HYPERLINK("c:\users\omer\rl-qecc-data\2026-07-23_03-19-24_733258\experiment.txt","experiment.txt")</f>
        <v>experiment.txt</v>
      </c>
    </row>
    <row r="93" spans="8:23" x14ac:dyDescent="0.3">
      <c r="H93" t="s">
        <v>76</v>
      </c>
      <c r="I93">
        <v>1001</v>
      </c>
      <c r="J93" t="s">
        <v>22</v>
      </c>
      <c r="K93">
        <v>12</v>
      </c>
      <c r="M93" t="s">
        <v>26</v>
      </c>
      <c r="N93" t="s">
        <v>27</v>
      </c>
      <c r="O93">
        <v>0.1</v>
      </c>
      <c r="P93">
        <v>50</v>
      </c>
      <c r="Q93" t="s">
        <v>42</v>
      </c>
      <c r="R93">
        <v>3.0000000000000001E-3</v>
      </c>
      <c r="S93" t="s">
        <v>17</v>
      </c>
      <c r="V93" t="str">
        <f>HYPERLINK("c:\users\omer\rl-qecc-data\2026-07-23_03-21-47_3619889\postProcessing.png","plot")</f>
        <v>plot</v>
      </c>
      <c r="W93" t="str">
        <f>HYPERLINK("c:\users\omer\rl-qecc-data\2026-07-23_03-21-47_3619889\experiment.txt","experiment.txt")</f>
        <v>experiment.txt</v>
      </c>
    </row>
    <row r="94" spans="8:23" x14ac:dyDescent="0.3">
      <c r="H94" t="s">
        <v>77</v>
      </c>
      <c r="I94">
        <v>2002</v>
      </c>
      <c r="J94" t="s">
        <v>22</v>
      </c>
      <c r="K94">
        <v>12</v>
      </c>
      <c r="M94" t="s">
        <v>26</v>
      </c>
      <c r="N94" t="s">
        <v>27</v>
      </c>
      <c r="O94">
        <v>0.1</v>
      </c>
      <c r="P94">
        <v>50</v>
      </c>
      <c r="Q94" t="s">
        <v>42</v>
      </c>
      <c r="R94">
        <v>3.0000000000000001E-3</v>
      </c>
      <c r="S94" t="s">
        <v>17</v>
      </c>
      <c r="V94" t="str">
        <f>HYPERLINK("c:\users\omer\rl-qecc-data\2026-07-23_03-23-05_734201\postProcessing.png","plot")</f>
        <v>plot</v>
      </c>
      <c r="W94" t="str">
        <f>HYPERLINK("c:\users\omer\rl-qecc-data\2026-07-23_03-23-05_734201\experiment.txt","experiment.txt")</f>
        <v>experiment.txt</v>
      </c>
    </row>
    <row r="95" spans="8:23" x14ac:dyDescent="0.3">
      <c r="H95" t="s">
        <v>78</v>
      </c>
      <c r="I95">
        <v>3003</v>
      </c>
      <c r="J95" t="s">
        <v>22</v>
      </c>
      <c r="K95">
        <v>12</v>
      </c>
      <c r="M95" t="s">
        <v>26</v>
      </c>
      <c r="N95" t="s">
        <v>27</v>
      </c>
      <c r="O95">
        <v>0.1</v>
      </c>
      <c r="P95">
        <v>50</v>
      </c>
      <c r="Q95" t="s">
        <v>42</v>
      </c>
      <c r="R95">
        <v>3.0000000000000001E-3</v>
      </c>
      <c r="S95" t="s">
        <v>17</v>
      </c>
      <c r="V95" t="str">
        <f>HYPERLINK("c:\users\omer\rl-qecc-data\2026-07-23_03-59-00_3777928\postProcessing.png","plot")</f>
        <v>plot</v>
      </c>
      <c r="W95" t="str">
        <f>HYPERLINK("c:\users\omer\rl-qecc-data\2026-07-23_03-59-00_3777928\experiment.txt","experiment.txt")</f>
        <v>experiment.txt</v>
      </c>
    </row>
    <row r="96" spans="8:23" x14ac:dyDescent="0.3">
      <c r="H96" t="s">
        <v>79</v>
      </c>
      <c r="I96">
        <v>4004</v>
      </c>
      <c r="J96" t="s">
        <v>22</v>
      </c>
      <c r="K96">
        <v>12</v>
      </c>
      <c r="M96" t="s">
        <v>26</v>
      </c>
      <c r="N96" t="s">
        <v>27</v>
      </c>
      <c r="O96">
        <v>0.1</v>
      </c>
      <c r="P96">
        <v>50</v>
      </c>
      <c r="Q96" t="s">
        <v>42</v>
      </c>
      <c r="R96">
        <v>3.0000000000000001E-3</v>
      </c>
      <c r="S96" t="s">
        <v>17</v>
      </c>
      <c r="V96" t="str">
        <f>HYPERLINK("c:\users\omer\rl-qecc-data\2026-07-23_03-59-00_3778025\postProcessing.png","plot")</f>
        <v>plot</v>
      </c>
      <c r="W96" t="str">
        <f>HYPERLINK("c:\users\omer\rl-qecc-data\2026-07-23_03-59-00_3778025\experiment.txt","experiment.txt")</f>
        <v>experiment.txt</v>
      </c>
    </row>
    <row r="97" spans="8:23" x14ac:dyDescent="0.3">
      <c r="H97" t="s">
        <v>80</v>
      </c>
      <c r="I97">
        <v>5005</v>
      </c>
      <c r="J97" t="s">
        <v>22</v>
      </c>
      <c r="K97">
        <v>12</v>
      </c>
      <c r="M97" t="s">
        <v>26</v>
      </c>
      <c r="N97" t="s">
        <v>27</v>
      </c>
      <c r="O97">
        <v>0.1</v>
      </c>
      <c r="P97">
        <v>50</v>
      </c>
      <c r="Q97" t="s">
        <v>42</v>
      </c>
      <c r="R97">
        <v>3.0000000000000001E-3</v>
      </c>
      <c r="S97" t="s">
        <v>17</v>
      </c>
      <c r="V97" t="str">
        <f>HYPERLINK("c:\users\omer\rl-qecc-data\2026-07-23_09-49-04_3803742\postProcessing.png","plot")</f>
        <v>plot</v>
      </c>
      <c r="W97" t="str">
        <f>HYPERLINK("c:\users\omer\rl-qecc-data\2026-07-23_09-49-04_3803742\experiment.txt","experiment.txt")</f>
        <v>experiment.txt</v>
      </c>
    </row>
    <row r="98" spans="8:23" x14ac:dyDescent="0.3">
      <c r="H98" t="s">
        <v>81</v>
      </c>
      <c r="I98">
        <v>6006</v>
      </c>
      <c r="J98" t="s">
        <v>22</v>
      </c>
      <c r="K98">
        <v>12</v>
      </c>
      <c r="M98" t="s">
        <v>26</v>
      </c>
      <c r="N98" t="s">
        <v>27</v>
      </c>
      <c r="O98">
        <v>0.1</v>
      </c>
      <c r="P98">
        <v>50</v>
      </c>
      <c r="Q98" t="s">
        <v>42</v>
      </c>
      <c r="R98">
        <v>3.0000000000000001E-3</v>
      </c>
      <c r="S98" t="s">
        <v>17</v>
      </c>
      <c r="V98" t="str">
        <f>HYPERLINK("c:\users\omer\rl-qecc-data\2026-07-23_09-49-33_3645399\postProcessing.png","plot")</f>
        <v>plot</v>
      </c>
      <c r="W98" t="str">
        <f>HYPERLINK("c:\users\omer\rl-qecc-data\2026-07-23_09-49-33_3645399\experiment.txt","experiment.txt")</f>
        <v>experiment.txt</v>
      </c>
    </row>
    <row r="99" spans="8:23" x14ac:dyDescent="0.3">
      <c r="H99" t="s">
        <v>82</v>
      </c>
      <c r="I99">
        <v>1001</v>
      </c>
      <c r="J99" t="s">
        <v>22</v>
      </c>
      <c r="K99">
        <v>12</v>
      </c>
      <c r="M99" t="s">
        <v>26</v>
      </c>
      <c r="N99" t="s">
        <v>27</v>
      </c>
      <c r="O99">
        <v>0.1</v>
      </c>
      <c r="P99">
        <v>200</v>
      </c>
      <c r="Q99" t="s">
        <v>42</v>
      </c>
      <c r="R99">
        <v>3.0000000000000001E-3</v>
      </c>
      <c r="S99" t="s">
        <v>17</v>
      </c>
      <c r="V99" t="str">
        <f>HYPERLINK("c:\users\omer\rl-qecc-data\2026-07-23_09-50-08_760381\postProcessing.png","plot")</f>
        <v>plot</v>
      </c>
      <c r="W99" t="str">
        <f>HYPERLINK("c:\users\omer\rl-qecc-data\2026-07-23_09-50-08_760381\experiment.txt","experiment.txt")</f>
        <v>experiment.txt</v>
      </c>
    </row>
    <row r="100" spans="8:23" x14ac:dyDescent="0.3">
      <c r="H100" t="s">
        <v>83</v>
      </c>
      <c r="I100">
        <v>2002</v>
      </c>
      <c r="J100" t="s">
        <v>22</v>
      </c>
      <c r="K100">
        <v>12</v>
      </c>
      <c r="M100" t="s">
        <v>26</v>
      </c>
      <c r="N100" t="s">
        <v>27</v>
      </c>
      <c r="O100">
        <v>0.1</v>
      </c>
      <c r="P100">
        <v>200</v>
      </c>
      <c r="Q100" t="s">
        <v>42</v>
      </c>
      <c r="R100">
        <v>3.0000000000000001E-3</v>
      </c>
      <c r="S100" t="s">
        <v>17</v>
      </c>
      <c r="V100" t="str">
        <f>HYPERLINK("c:\users\omer\rl-qecc-data\2026-07-23_10-21-26_3648285\postProcessing.png","plot")</f>
        <v>plot</v>
      </c>
      <c r="W100" t="str">
        <f>HYPERLINK("c:\users\omer\rl-qecc-data\2026-07-23_10-21-26_3648285\experiment.txt","experiment.txt")</f>
        <v>experiment.txt</v>
      </c>
    </row>
    <row r="101" spans="8:23" x14ac:dyDescent="0.3">
      <c r="H101" t="s">
        <v>84</v>
      </c>
      <c r="I101">
        <v>3003</v>
      </c>
      <c r="J101" t="s">
        <v>22</v>
      </c>
      <c r="K101">
        <v>12</v>
      </c>
      <c r="M101" t="s">
        <v>26</v>
      </c>
      <c r="N101" t="s">
        <v>27</v>
      </c>
      <c r="O101">
        <v>0.1</v>
      </c>
      <c r="P101">
        <v>200</v>
      </c>
      <c r="Q101" t="s">
        <v>42</v>
      </c>
      <c r="R101">
        <v>3.0000000000000001E-3</v>
      </c>
      <c r="S101" t="s">
        <v>17</v>
      </c>
      <c r="V101" t="str">
        <f>HYPERLINK("c:\users\omer\rl-qecc-data\2026-07-23_10-26-58_324404\postProcessing.png","plot")</f>
        <v>plot</v>
      </c>
      <c r="W101" t="str">
        <f>HYPERLINK("c:\users\omer\rl-qecc-data\2026-07-23_10-26-58_324404\experiment.txt","experiment.txt")</f>
        <v>experiment.txt</v>
      </c>
    </row>
    <row r="102" spans="8:23" x14ac:dyDescent="0.3">
      <c r="H102" t="s">
        <v>85</v>
      </c>
      <c r="I102">
        <v>4004</v>
      </c>
      <c r="J102" t="s">
        <v>22</v>
      </c>
      <c r="K102">
        <v>12</v>
      </c>
      <c r="M102" t="s">
        <v>26</v>
      </c>
      <c r="N102" t="s">
        <v>27</v>
      </c>
      <c r="O102">
        <v>0.1</v>
      </c>
      <c r="P102">
        <v>200</v>
      </c>
      <c r="Q102" t="s">
        <v>42</v>
      </c>
      <c r="R102">
        <v>3.0000000000000001E-3</v>
      </c>
      <c r="S102" t="s">
        <v>17</v>
      </c>
      <c r="V102" t="str">
        <f>HYPERLINK("c:\users\omer\rl-qecc-data\2026-07-23_10-30-48_3649405\postProcessing.png","plot")</f>
        <v>plot</v>
      </c>
      <c r="W102" t="str">
        <f>HYPERLINK("c:\users\omer\rl-qecc-data\2026-07-23_10-30-48_3649405\experiment.txt","experiment.txt")</f>
        <v>experiment.txt</v>
      </c>
    </row>
    <row r="103" spans="8:23" x14ac:dyDescent="0.3">
      <c r="H103" t="s">
        <v>86</v>
      </c>
      <c r="I103">
        <v>5005</v>
      </c>
      <c r="J103" t="s">
        <v>22</v>
      </c>
      <c r="K103">
        <v>12</v>
      </c>
      <c r="M103" t="s">
        <v>26</v>
      </c>
      <c r="N103" t="s">
        <v>27</v>
      </c>
      <c r="O103">
        <v>0.1</v>
      </c>
      <c r="P103">
        <v>200</v>
      </c>
      <c r="Q103" t="s">
        <v>42</v>
      </c>
      <c r="R103">
        <v>3.0000000000000001E-3</v>
      </c>
      <c r="S103" t="s">
        <v>17</v>
      </c>
      <c r="V103" t="str">
        <f>HYPERLINK("c:\users\omer\rl-qecc-data\2026-07-23_10-35-04_763592\postProcessing.png","plot")</f>
        <v>plot</v>
      </c>
      <c r="W103" t="str">
        <f>HYPERLINK("c:\users\omer\rl-qecc-data\2026-07-23_10-35-04_763592\experiment.txt","experiment.txt")</f>
        <v>experiment.txt</v>
      </c>
    </row>
    <row r="104" spans="8:23" x14ac:dyDescent="0.3">
      <c r="H104" t="s">
        <v>87</v>
      </c>
      <c r="I104">
        <v>6006</v>
      </c>
      <c r="J104" t="s">
        <v>22</v>
      </c>
      <c r="K104">
        <v>12</v>
      </c>
      <c r="M104" t="s">
        <v>26</v>
      </c>
      <c r="N104" t="s">
        <v>27</v>
      </c>
      <c r="O104">
        <v>0.1</v>
      </c>
      <c r="P104">
        <v>200</v>
      </c>
      <c r="Q104" t="s">
        <v>42</v>
      </c>
      <c r="R104">
        <v>3.0000000000000001E-3</v>
      </c>
      <c r="S104" t="s">
        <v>17</v>
      </c>
      <c r="V104" t="str">
        <f>HYPERLINK("c:\users\omer\rl-qecc-data\2026-07-23_11-04-08_766658\postProcessing.png","plot")</f>
        <v>plot</v>
      </c>
      <c r="W104" t="str">
        <f>HYPERLINK("c:\users\omer\rl-qecc-data\2026-07-23_11-04-08_766658\experiment.txt","experiment.txt")</f>
        <v>experiment.txt</v>
      </c>
    </row>
    <row r="105" spans="8:23" x14ac:dyDescent="0.3">
      <c r="H105" t="s">
        <v>88</v>
      </c>
      <c r="I105">
        <v>1001</v>
      </c>
      <c r="J105" t="s">
        <v>22</v>
      </c>
      <c r="K105">
        <v>12</v>
      </c>
      <c r="M105" t="s">
        <v>26</v>
      </c>
      <c r="N105" t="s">
        <v>27</v>
      </c>
      <c r="O105">
        <v>0.1</v>
      </c>
      <c r="P105">
        <v>500</v>
      </c>
      <c r="Q105" t="s">
        <v>42</v>
      </c>
      <c r="R105">
        <v>3.0000000000000001E-3</v>
      </c>
      <c r="S105" t="s">
        <v>17</v>
      </c>
      <c r="V105" t="str">
        <f>HYPERLINK("c:\users\omer\rl-qecc-data\2026-07-23_16-32-07_351545\postProcessing.png","plot")</f>
        <v>plot</v>
      </c>
      <c r="W105" t="str">
        <f>HYPERLINK("c:\users\omer\rl-qecc-data\2026-07-23_16-32-07_351545\experiment.txt","experiment.txt")</f>
        <v>experiment.txt</v>
      </c>
    </row>
    <row r="106" spans="8:23" x14ac:dyDescent="0.3">
      <c r="H106" t="s">
        <v>208</v>
      </c>
      <c r="I106">
        <v>2002</v>
      </c>
      <c r="J106" t="s">
        <v>22</v>
      </c>
      <c r="K106">
        <v>12</v>
      </c>
      <c r="M106" t="s">
        <v>26</v>
      </c>
      <c r="N106" t="s">
        <v>27</v>
      </c>
      <c r="O106">
        <v>0.1</v>
      </c>
      <c r="P106">
        <v>500</v>
      </c>
      <c r="Q106" t="s">
        <v>42</v>
      </c>
      <c r="R106">
        <v>3.0000000000000001E-3</v>
      </c>
      <c r="S106" t="s">
        <v>17</v>
      </c>
      <c r="V106" t="str">
        <f>HYPERLINK("c:\users\omer\rl-qecc-data\2026-07-23_16-39-33_352442\postProcessing.png","plot")</f>
        <v>plot</v>
      </c>
      <c r="W106" t="str">
        <f>HYPERLINK("c:\users\omer\rl-qecc-data\2026-07-23_16-39-33_352442\experiment.txt","experiment.txt")</f>
        <v>experiment.txt</v>
      </c>
    </row>
    <row r="107" spans="8:23" x14ac:dyDescent="0.3">
      <c r="H107" t="s">
        <v>209</v>
      </c>
      <c r="I107">
        <v>3003</v>
      </c>
      <c r="J107" t="s">
        <v>22</v>
      </c>
      <c r="K107">
        <v>12</v>
      </c>
      <c r="M107" t="s">
        <v>26</v>
      </c>
      <c r="N107" t="s">
        <v>27</v>
      </c>
      <c r="O107">
        <v>0.1</v>
      </c>
      <c r="P107">
        <v>500</v>
      </c>
      <c r="Q107" t="s">
        <v>42</v>
      </c>
      <c r="R107">
        <v>3.0000000000000001E-3</v>
      </c>
      <c r="S107" t="s">
        <v>17</v>
      </c>
      <c r="V107" t="str">
        <f>HYPERLINK("c:\users\omer\rl-qecc-data\2026-07-23_17-04-44_790643\postProcessing.png","plot")</f>
        <v>plot</v>
      </c>
      <c r="W107" t="str">
        <f>HYPERLINK("c:\users\omer\rl-qecc-data\2026-07-23_17-04-44_790643\experiment.txt","experiment.txt")</f>
        <v>experiment.txt</v>
      </c>
    </row>
    <row r="108" spans="8:23" x14ac:dyDescent="0.3">
      <c r="H108" t="s">
        <v>210</v>
      </c>
      <c r="I108">
        <v>4004</v>
      </c>
      <c r="J108" t="s">
        <v>22</v>
      </c>
      <c r="K108">
        <v>12</v>
      </c>
      <c r="M108" t="s">
        <v>26</v>
      </c>
      <c r="N108" t="s">
        <v>27</v>
      </c>
      <c r="O108">
        <v>0.1</v>
      </c>
      <c r="P108">
        <v>500</v>
      </c>
      <c r="Q108" t="s">
        <v>42</v>
      </c>
      <c r="R108">
        <v>3.0000000000000001E-3</v>
      </c>
      <c r="S108" t="s">
        <v>17</v>
      </c>
      <c r="V108" t="str">
        <f>HYPERLINK("c:\users\omer\rl-qecc-data\2026-07-23_17-06-26_355068\postProcessing.png","plot")</f>
        <v>plot</v>
      </c>
      <c r="W108" t="str">
        <f>HYPERLINK("c:\users\omer\rl-qecc-data\2026-07-23_17-06-26_355068\experiment.txt","experiment.txt")</f>
        <v>experiment.txt</v>
      </c>
    </row>
    <row r="109" spans="8:23" x14ac:dyDescent="0.3">
      <c r="H109" t="s">
        <v>211</v>
      </c>
      <c r="I109">
        <v>5005</v>
      </c>
      <c r="J109" t="s">
        <v>22</v>
      </c>
      <c r="K109">
        <v>12</v>
      </c>
      <c r="M109" t="s">
        <v>26</v>
      </c>
      <c r="N109" t="s">
        <v>27</v>
      </c>
      <c r="O109">
        <v>0.1</v>
      </c>
      <c r="P109">
        <v>500</v>
      </c>
      <c r="Q109" t="s">
        <v>42</v>
      </c>
      <c r="R109">
        <v>3.0000000000000001E-3</v>
      </c>
      <c r="S109" t="s">
        <v>17</v>
      </c>
      <c r="V109" t="str">
        <f>HYPERLINK("c:\users\omer\rl-qecc-data\2026-07-23_17-26-23_3831930\postProcessing.png","plot")</f>
        <v>plot</v>
      </c>
      <c r="W109" t="str">
        <f>HYPERLINK("c:\users\omer\rl-qecc-data\2026-07-23_17-26-23_3831930\experiment.txt","experiment.txt")</f>
        <v>experiment.txt</v>
      </c>
    </row>
    <row r="110" spans="8:23" x14ac:dyDescent="0.3">
      <c r="H110" t="s">
        <v>212</v>
      </c>
      <c r="I110">
        <v>6006</v>
      </c>
      <c r="J110" t="s">
        <v>22</v>
      </c>
      <c r="K110">
        <v>12</v>
      </c>
      <c r="M110" t="s">
        <v>26</v>
      </c>
      <c r="N110" t="s">
        <v>27</v>
      </c>
      <c r="O110">
        <v>0.1</v>
      </c>
      <c r="P110">
        <v>500</v>
      </c>
      <c r="Q110" t="s">
        <v>42</v>
      </c>
      <c r="R110">
        <v>3.0000000000000001E-3</v>
      </c>
      <c r="S110" t="s">
        <v>17</v>
      </c>
      <c r="V110" t="str">
        <f>HYPERLINK("c:\users\omer\rl-qecc-data\2026-07-23_17-30-12_792942\postProcessing.png","plot")</f>
        <v>plot</v>
      </c>
      <c r="W110" t="str">
        <f>HYPERLINK("c:\users\omer\rl-qecc-data\2026-07-23_17-30-12_792942\experiment.txt","experiment.txt")</f>
        <v>experiment.txt</v>
      </c>
    </row>
    <row r="111" spans="8:23" x14ac:dyDescent="0.3">
      <c r="H111" t="s">
        <v>213</v>
      </c>
      <c r="I111">
        <v>1001</v>
      </c>
      <c r="J111" t="s">
        <v>22</v>
      </c>
      <c r="K111">
        <v>12</v>
      </c>
      <c r="M111" t="s">
        <v>26</v>
      </c>
      <c r="N111" t="s">
        <v>27</v>
      </c>
      <c r="O111">
        <v>0.1</v>
      </c>
      <c r="P111">
        <v>0</v>
      </c>
      <c r="Q111" t="s">
        <v>42</v>
      </c>
      <c r="R111">
        <v>3.0000000000000001E-3</v>
      </c>
      <c r="S111" t="s">
        <v>17</v>
      </c>
      <c r="V111" t="str">
        <f>HYPERLINK("c:\users\omer\rl-qecc-data\2026-07-23_17-38-01_3833038\postProcessing.png","plot")</f>
        <v>plot</v>
      </c>
      <c r="W111" t="str">
        <f>HYPERLINK("c:\users\omer\rl-qecc-data\2026-07-23_17-38-01_3833038\experiment.txt","experiment.txt")</f>
        <v>experiment.txt</v>
      </c>
    </row>
    <row r="112" spans="8:23" x14ac:dyDescent="0.3">
      <c r="H112" t="s">
        <v>214</v>
      </c>
      <c r="I112">
        <v>2002</v>
      </c>
      <c r="J112" t="s">
        <v>22</v>
      </c>
      <c r="K112">
        <v>12</v>
      </c>
      <c r="M112" t="s">
        <v>26</v>
      </c>
      <c r="N112" t="s">
        <v>27</v>
      </c>
      <c r="O112">
        <v>0.1</v>
      </c>
      <c r="P112">
        <v>0</v>
      </c>
      <c r="Q112" t="s">
        <v>42</v>
      </c>
      <c r="R112">
        <v>3.0000000000000001E-3</v>
      </c>
      <c r="S112" t="s">
        <v>17</v>
      </c>
      <c r="V112" t="str">
        <f>HYPERLINK("c:\users\omer\rl-qecc-data\2026-07-23_18-06-16_3835747\postProcessing.png","plot")</f>
        <v>plot</v>
      </c>
      <c r="W112" t="str">
        <f>HYPERLINK("c:\users\omer\rl-qecc-data\2026-07-23_18-06-16_3835747\experiment.txt","experiment.txt")</f>
        <v>experiment.txt</v>
      </c>
    </row>
    <row r="113" spans="8:23" x14ac:dyDescent="0.3">
      <c r="H113" t="s">
        <v>215</v>
      </c>
      <c r="I113">
        <v>3003</v>
      </c>
      <c r="J113" t="s">
        <v>22</v>
      </c>
      <c r="K113">
        <v>12</v>
      </c>
      <c r="M113" t="s">
        <v>26</v>
      </c>
      <c r="N113" t="s">
        <v>27</v>
      </c>
      <c r="O113">
        <v>0.1</v>
      </c>
      <c r="P113">
        <v>0</v>
      </c>
      <c r="Q113" t="s">
        <v>42</v>
      </c>
      <c r="R113">
        <v>3.0000000000000001E-3</v>
      </c>
      <c r="S113" t="s">
        <v>17</v>
      </c>
      <c r="V113" t="str">
        <f>HYPERLINK("c:\users\omer\rl-qecc-data\2026-07-23_22-38-48_814037\postProcessing.png","plot")</f>
        <v>plot</v>
      </c>
      <c r="W113" t="str">
        <f>HYPERLINK("c:\users\omer\rl-qecc-data\2026-07-23_22-38-48_814037\experiment.txt","experiment.txt")</f>
        <v>experiment.txt</v>
      </c>
    </row>
    <row r="114" spans="8:23" x14ac:dyDescent="0.3">
      <c r="H114" t="s">
        <v>89</v>
      </c>
      <c r="I114">
        <v>777001</v>
      </c>
      <c r="J114" t="s">
        <v>90</v>
      </c>
      <c r="K114">
        <v>8</v>
      </c>
      <c r="M114" t="s">
        <v>26</v>
      </c>
      <c r="N114" t="s">
        <v>27</v>
      </c>
      <c r="O114">
        <v>0.1</v>
      </c>
      <c r="P114">
        <v>10</v>
      </c>
      <c r="Q114" t="s">
        <v>91</v>
      </c>
      <c r="R114">
        <v>3.0000000000000001E-3</v>
      </c>
      <c r="S114" t="s">
        <v>17</v>
      </c>
      <c r="V114" t="str">
        <f>HYPERLINK("c:\users\omer\rl-qecc-data\2026-07-24_01-19-19_159224\postProcessing.png","plot")</f>
        <v>plot</v>
      </c>
      <c r="W114" t="str">
        <f>HYPERLINK("c:\users\omer\rl-qecc-data\2026-07-24_01-19-19_159224\experiment.txt","experiment.txt")</f>
        <v>experiment.txt</v>
      </c>
    </row>
    <row r="115" spans="8:23" x14ac:dyDescent="0.3">
      <c r="H115" t="s">
        <v>92</v>
      </c>
      <c r="I115">
        <v>4004</v>
      </c>
      <c r="J115" t="s">
        <v>22</v>
      </c>
      <c r="K115">
        <v>12</v>
      </c>
      <c r="M115" t="s">
        <v>26</v>
      </c>
      <c r="N115" t="s">
        <v>27</v>
      </c>
      <c r="O115">
        <v>0.1</v>
      </c>
      <c r="P115">
        <v>0</v>
      </c>
      <c r="Q115" t="s">
        <v>42</v>
      </c>
      <c r="R115">
        <v>3.0000000000000001E-3</v>
      </c>
      <c r="S115" t="s">
        <v>17</v>
      </c>
      <c r="V115" t="str">
        <f>HYPERLINK("c:\users\omer\rl-qecc-data\2026-07-24_01-45-23_388972\postProcessing.png","plot")</f>
        <v>plot</v>
      </c>
      <c r="W115" t="str">
        <f>HYPERLINK("c:\users\omer\rl-qecc-data\2026-07-24_01-45-23_388972\experiment.txt","experiment.txt")</f>
        <v>experiment.txt</v>
      </c>
    </row>
    <row r="116" spans="8:23" x14ac:dyDescent="0.3">
      <c r="H116" t="s">
        <v>93</v>
      </c>
      <c r="I116">
        <v>5005</v>
      </c>
      <c r="J116" t="s">
        <v>22</v>
      </c>
      <c r="K116">
        <v>12</v>
      </c>
      <c r="M116" t="s">
        <v>26</v>
      </c>
      <c r="N116" t="s">
        <v>27</v>
      </c>
      <c r="O116">
        <v>0.1</v>
      </c>
      <c r="P116">
        <v>0</v>
      </c>
      <c r="Q116" t="s">
        <v>42</v>
      </c>
      <c r="R116">
        <v>3.0000000000000001E-3</v>
      </c>
      <c r="S116" t="s">
        <v>17</v>
      </c>
      <c r="V116" t="str">
        <f>HYPERLINK("c:\users\omer\rl-qecc-data\2026-07-24_01-45-23_389109\postProcessing.png","plot")</f>
        <v>plot</v>
      </c>
      <c r="W116" t="str">
        <f>HYPERLINK("c:\users\omer\rl-qecc-data\2026-07-24_01-45-23_389109\experiment.txt","experiment.txt")</f>
        <v>experiment.txt</v>
      </c>
    </row>
    <row r="117" spans="8:23" x14ac:dyDescent="0.3">
      <c r="H117" t="s">
        <v>94</v>
      </c>
      <c r="I117">
        <v>6006</v>
      </c>
      <c r="J117" t="s">
        <v>22</v>
      </c>
      <c r="K117">
        <v>12</v>
      </c>
      <c r="M117" t="s">
        <v>26</v>
      </c>
      <c r="N117" t="s">
        <v>27</v>
      </c>
      <c r="O117">
        <v>0.1</v>
      </c>
      <c r="P117">
        <v>0</v>
      </c>
      <c r="Q117" t="s">
        <v>42</v>
      </c>
      <c r="R117">
        <v>3.0000000000000001E-3</v>
      </c>
      <c r="S117" t="s">
        <v>17</v>
      </c>
      <c r="V117" t="str">
        <f>HYPERLINK("c:\users\omer\rl-qecc-data\2026-07-24_01-45-35_826931\postProcessing.png","plot")</f>
        <v>plot</v>
      </c>
      <c r="W117" t="str">
        <f>HYPERLINK("c:\users\omer\rl-qecc-data\2026-07-24_01-45-35_826931\experiment.txt","experiment.txt")</f>
        <v>experiment.txt</v>
      </c>
    </row>
    <row r="118" spans="8:23" x14ac:dyDescent="0.3">
      <c r="H118" t="s">
        <v>95</v>
      </c>
      <c r="I118">
        <v>2002</v>
      </c>
      <c r="J118" t="s">
        <v>22</v>
      </c>
      <c r="K118">
        <v>12</v>
      </c>
      <c r="M118" t="s">
        <v>26</v>
      </c>
      <c r="N118" t="s">
        <v>27</v>
      </c>
      <c r="O118">
        <v>0.1</v>
      </c>
      <c r="P118">
        <v>10</v>
      </c>
      <c r="Q118" t="s">
        <v>42</v>
      </c>
      <c r="R118">
        <v>3.0000000000000001E-3</v>
      </c>
      <c r="S118" t="s">
        <v>17</v>
      </c>
      <c r="V118" t="str">
        <f>HYPERLINK("c:\users\omer\rl-qecc-data\2026-07-24_01-45-35_827526\postProcessing.png","plot")</f>
        <v>plot</v>
      </c>
      <c r="W118" t="str">
        <f>HYPERLINK("c:\users\omer\rl-qecc-data\2026-07-24_01-45-35_827526\experiment.txt","experiment.txt")</f>
        <v>experiment.txt</v>
      </c>
    </row>
    <row r="119" spans="8:23" x14ac:dyDescent="0.3">
      <c r="H119" t="s">
        <v>96</v>
      </c>
      <c r="I119">
        <v>1001</v>
      </c>
      <c r="J119" t="s">
        <v>22</v>
      </c>
      <c r="K119">
        <v>12</v>
      </c>
      <c r="M119" t="s">
        <v>26</v>
      </c>
      <c r="N119" t="s">
        <v>27</v>
      </c>
      <c r="O119">
        <v>0.1</v>
      </c>
      <c r="P119">
        <v>10</v>
      </c>
      <c r="Q119" t="s">
        <v>42</v>
      </c>
      <c r="R119">
        <v>3.0000000000000001E-3</v>
      </c>
      <c r="S119" t="s">
        <v>17</v>
      </c>
      <c r="V119" t="str">
        <f>HYPERLINK("c:\users\omer\rl-qecc-data\2026-07-24_01-46-10_390244\postProcessing.png","plot")</f>
        <v>plot</v>
      </c>
      <c r="W119" t="str">
        <f>HYPERLINK("c:\users\omer\rl-qecc-data\2026-07-24_01-46-10_390244\experiment.txt","experiment.txt")</f>
        <v>experiment.txt</v>
      </c>
    </row>
    <row r="120" spans="8:23" x14ac:dyDescent="0.3">
      <c r="H120" t="s">
        <v>97</v>
      </c>
      <c r="I120">
        <v>3003</v>
      </c>
      <c r="J120" t="s">
        <v>22</v>
      </c>
      <c r="K120">
        <v>12</v>
      </c>
      <c r="M120" t="s">
        <v>26</v>
      </c>
      <c r="N120" t="s">
        <v>27</v>
      </c>
      <c r="O120">
        <v>0.1</v>
      </c>
      <c r="P120">
        <v>10</v>
      </c>
      <c r="Q120" t="s">
        <v>42</v>
      </c>
      <c r="R120">
        <v>3.0000000000000001E-3</v>
      </c>
      <c r="S120" t="s">
        <v>17</v>
      </c>
      <c r="V120" t="str">
        <f>HYPERLINK("c:\users\omer\rl-qecc-data\2026-07-24_01-47-04_828303\postProcessing.png","plot")</f>
        <v>plot</v>
      </c>
      <c r="W120" t="str">
        <f>HYPERLINK("c:\users\omer\rl-qecc-data\2026-07-24_01-47-04_828303\experiment.txt","experiment.txt")</f>
        <v>experiment.txt</v>
      </c>
    </row>
    <row r="121" spans="8:23" x14ac:dyDescent="0.3">
      <c r="H121" t="s">
        <v>98</v>
      </c>
      <c r="I121">
        <v>4004</v>
      </c>
      <c r="J121" t="s">
        <v>22</v>
      </c>
      <c r="K121">
        <v>12</v>
      </c>
      <c r="M121" t="s">
        <v>26</v>
      </c>
      <c r="N121" t="s">
        <v>27</v>
      </c>
      <c r="O121">
        <v>0.1</v>
      </c>
      <c r="P121">
        <v>10</v>
      </c>
      <c r="Q121" t="s">
        <v>42</v>
      </c>
      <c r="R121">
        <v>3.0000000000000001E-3</v>
      </c>
      <c r="S121" t="s">
        <v>17</v>
      </c>
      <c r="V121" t="str">
        <f>HYPERLINK("c:\users\omer\rl-qecc-data\2026-07-24_01-50-25_3700228\postProcessing.png","plot")</f>
        <v>plot</v>
      </c>
      <c r="W121" t="str">
        <f>HYPERLINK("c:\users\omer\rl-qecc-data\2026-07-24_01-50-25_3700228\experiment.txt","experiment.txt")</f>
        <v>experiment.txt</v>
      </c>
    </row>
    <row r="122" spans="8:23" x14ac:dyDescent="0.3">
      <c r="H122" t="s">
        <v>99</v>
      </c>
      <c r="I122">
        <v>5005</v>
      </c>
      <c r="J122" t="s">
        <v>22</v>
      </c>
      <c r="K122">
        <v>12</v>
      </c>
      <c r="M122" t="s">
        <v>26</v>
      </c>
      <c r="N122" t="s">
        <v>27</v>
      </c>
      <c r="O122">
        <v>0.1</v>
      </c>
      <c r="P122">
        <v>10</v>
      </c>
      <c r="Q122" t="s">
        <v>42</v>
      </c>
      <c r="R122">
        <v>3.0000000000000001E-3</v>
      </c>
      <c r="S122" t="s">
        <v>17</v>
      </c>
      <c r="V122" t="str">
        <f>HYPERLINK("c:\users\omer\rl-qecc-data\2026-07-24_01-50-25_3700306\postProcessing.png","plot")</f>
        <v>plot</v>
      </c>
      <c r="W122" t="str">
        <f>HYPERLINK("c:\users\omer\rl-qecc-data\2026-07-24_01-50-25_3700306\experiment.txt","experiment.txt")</f>
        <v>experiment.txt</v>
      </c>
    </row>
    <row r="123" spans="8:23" x14ac:dyDescent="0.3">
      <c r="H123" t="s">
        <v>100</v>
      </c>
      <c r="I123">
        <v>6006</v>
      </c>
      <c r="J123" t="s">
        <v>22</v>
      </c>
      <c r="K123">
        <v>12</v>
      </c>
      <c r="M123" t="s">
        <v>26</v>
      </c>
      <c r="N123" t="s">
        <v>27</v>
      </c>
      <c r="O123">
        <v>0.1</v>
      </c>
      <c r="P123">
        <v>10</v>
      </c>
      <c r="Q123" t="s">
        <v>42</v>
      </c>
      <c r="R123">
        <v>3.0000000000000001E-3</v>
      </c>
      <c r="S123" t="s">
        <v>17</v>
      </c>
      <c r="V123" t="str">
        <f>HYPERLINK("c:\users\omer\rl-qecc-data\2026-07-24_08-06-30_415513\postProcessing.png","plot")</f>
        <v>plot</v>
      </c>
      <c r="W123" t="str">
        <f>HYPERLINK("c:\users\omer\rl-qecc-data\2026-07-24_08-06-30_415513\experiment.txt","experiment.txt")</f>
        <v>experiment.txt</v>
      </c>
    </row>
    <row r="124" spans="8:23" x14ac:dyDescent="0.3">
      <c r="H124" t="s">
        <v>101</v>
      </c>
      <c r="I124">
        <v>2002</v>
      </c>
      <c r="J124" t="s">
        <v>22</v>
      </c>
      <c r="K124">
        <v>12</v>
      </c>
      <c r="M124" t="s">
        <v>26</v>
      </c>
      <c r="N124" t="s">
        <v>27</v>
      </c>
      <c r="O124">
        <v>0.1</v>
      </c>
      <c r="P124">
        <v>50</v>
      </c>
      <c r="Q124" t="s">
        <v>42</v>
      </c>
      <c r="R124">
        <v>3.0000000000000001E-3</v>
      </c>
      <c r="S124" t="s">
        <v>17</v>
      </c>
      <c r="V124" t="str">
        <f>HYPERLINK("c:\users\omer\rl-qecc-data\2026-07-24_08-12-37_854157\postProcessing.png","plot")</f>
        <v>plot</v>
      </c>
      <c r="W124" t="str">
        <f>HYPERLINK("c:\users\omer\rl-qecc-data\2026-07-24_08-12-37_854157\experiment.txt","experiment.txt")</f>
        <v>experiment.txt</v>
      </c>
    </row>
    <row r="125" spans="8:23" x14ac:dyDescent="0.3">
      <c r="H125" t="s">
        <v>102</v>
      </c>
      <c r="I125">
        <v>1001</v>
      </c>
      <c r="J125" t="s">
        <v>22</v>
      </c>
      <c r="K125">
        <v>12</v>
      </c>
      <c r="M125" t="s">
        <v>26</v>
      </c>
      <c r="N125" t="s">
        <v>27</v>
      </c>
      <c r="O125">
        <v>0.1</v>
      </c>
      <c r="P125">
        <v>50</v>
      </c>
      <c r="Q125" t="s">
        <v>42</v>
      </c>
      <c r="R125">
        <v>3.0000000000000001E-3</v>
      </c>
      <c r="S125" t="s">
        <v>17</v>
      </c>
      <c r="V125" t="str">
        <f>HYPERLINK("c:\users\omer\rl-qecc-data\2026-07-24_08-17-36_3882751\postProcessing.png","plot")</f>
        <v>plot</v>
      </c>
      <c r="W125" t="str">
        <f>HYPERLINK("c:\users\omer\rl-qecc-data\2026-07-24_08-17-36_3882751\experiment.txt","experiment.txt")</f>
        <v>experiment.txt</v>
      </c>
    </row>
    <row r="126" spans="8:23" x14ac:dyDescent="0.3">
      <c r="H126" t="s">
        <v>103</v>
      </c>
      <c r="I126">
        <v>3003</v>
      </c>
      <c r="J126" t="s">
        <v>22</v>
      </c>
      <c r="K126">
        <v>12</v>
      </c>
      <c r="M126" t="s">
        <v>26</v>
      </c>
      <c r="N126" t="s">
        <v>27</v>
      </c>
      <c r="O126">
        <v>0.1</v>
      </c>
      <c r="P126">
        <v>50</v>
      </c>
      <c r="Q126" t="s">
        <v>42</v>
      </c>
      <c r="R126">
        <v>3.0000000000000001E-3</v>
      </c>
      <c r="S126" t="s">
        <v>17</v>
      </c>
      <c r="V126" t="str">
        <f>HYPERLINK("c:\users\omer\rl-qecc-data\2026-07-24_08-18-49_855414\postProcessing.png","plot")</f>
        <v>plot</v>
      </c>
      <c r="W126" t="str">
        <f>HYPERLINK("c:\users\omer\rl-qecc-data\2026-07-24_08-18-49_855414\experiment.txt","experiment.txt")</f>
        <v>experiment.txt</v>
      </c>
    </row>
    <row r="127" spans="8:23" x14ac:dyDescent="0.3">
      <c r="H127" t="s">
        <v>104</v>
      </c>
      <c r="I127">
        <v>4004</v>
      </c>
      <c r="J127" t="s">
        <v>22</v>
      </c>
      <c r="K127">
        <v>12</v>
      </c>
      <c r="M127" t="s">
        <v>26</v>
      </c>
      <c r="N127" t="s">
        <v>27</v>
      </c>
      <c r="O127">
        <v>0.1</v>
      </c>
      <c r="P127">
        <v>50</v>
      </c>
      <c r="Q127" t="s">
        <v>42</v>
      </c>
      <c r="R127">
        <v>3.0000000000000001E-3</v>
      </c>
      <c r="S127" t="s">
        <v>17</v>
      </c>
      <c r="V127" t="str">
        <f>HYPERLINK("c:\users\omer\rl-qecc-data\2026-07-24_08-32-31_418941\postProcessing.png","plot")</f>
        <v>plot</v>
      </c>
      <c r="W127" t="str">
        <f>HYPERLINK("c:\users\omer\rl-qecc-data\2026-07-24_08-32-31_418941\experiment.txt","experiment.txt")</f>
        <v>experiment.txt</v>
      </c>
    </row>
    <row r="128" spans="8:23" x14ac:dyDescent="0.3">
      <c r="H128" t="s">
        <v>105</v>
      </c>
      <c r="I128">
        <v>5005</v>
      </c>
      <c r="J128" t="s">
        <v>22</v>
      </c>
      <c r="K128">
        <v>12</v>
      </c>
      <c r="M128" t="s">
        <v>26</v>
      </c>
      <c r="N128" t="s">
        <v>27</v>
      </c>
      <c r="O128">
        <v>0.1</v>
      </c>
      <c r="P128">
        <v>50</v>
      </c>
      <c r="Q128" t="s">
        <v>42</v>
      </c>
      <c r="R128">
        <v>3.0000000000000001E-3</v>
      </c>
      <c r="S128" t="s">
        <v>17</v>
      </c>
      <c r="V128" t="str">
        <f>HYPERLINK("c:\users\omer\rl-qecc-data\2026-07-24_08-35-37_856813\postProcessing.png","plot")</f>
        <v>plot</v>
      </c>
      <c r="W128" t="str">
        <f>HYPERLINK("c:\users\omer\rl-qecc-data\2026-07-24_08-35-37_856813\experiment.txt","experiment.txt")</f>
        <v>experiment.txt</v>
      </c>
    </row>
    <row r="129" spans="8:23" x14ac:dyDescent="0.3">
      <c r="H129" t="s">
        <v>106</v>
      </c>
      <c r="I129">
        <v>6006</v>
      </c>
      <c r="J129" t="s">
        <v>22</v>
      </c>
      <c r="K129">
        <v>12</v>
      </c>
      <c r="M129" t="s">
        <v>26</v>
      </c>
      <c r="N129" t="s">
        <v>27</v>
      </c>
      <c r="O129">
        <v>0.1</v>
      </c>
      <c r="P129">
        <v>50</v>
      </c>
      <c r="Q129" t="s">
        <v>42</v>
      </c>
      <c r="R129">
        <v>3.0000000000000001E-3</v>
      </c>
      <c r="S129" t="s">
        <v>17</v>
      </c>
      <c r="V129" t="str">
        <f>HYPERLINK("c:\users\omer\rl-qecc-data\2026-07-24_08-41-36_3884575\postProcessing.png","plot")</f>
        <v>plot</v>
      </c>
      <c r="W129" t="str">
        <f>HYPERLINK("c:\users\omer\rl-qecc-data\2026-07-24_08-41-36_3884575\experiment.txt","experiment.txt")</f>
        <v>experiment.txt</v>
      </c>
    </row>
    <row r="130" spans="8:23" x14ac:dyDescent="0.3">
      <c r="H130" t="s">
        <v>107</v>
      </c>
      <c r="I130">
        <v>1001</v>
      </c>
      <c r="J130" t="s">
        <v>22</v>
      </c>
      <c r="K130">
        <v>12</v>
      </c>
      <c r="M130" t="s">
        <v>26</v>
      </c>
      <c r="N130" t="s">
        <v>27</v>
      </c>
      <c r="O130">
        <v>0.1</v>
      </c>
      <c r="P130">
        <v>200</v>
      </c>
      <c r="Q130" t="s">
        <v>42</v>
      </c>
      <c r="R130">
        <v>3.0000000000000001E-3</v>
      </c>
      <c r="S130" t="s">
        <v>17</v>
      </c>
      <c r="V130" t="str">
        <f>HYPERLINK("c:\users\omer\rl-qecc-data\2026-07-24_08-47-54_420595\postProcessing.png","plot")</f>
        <v>plot</v>
      </c>
      <c r="W130" t="str">
        <f>HYPERLINK("c:\users\omer\rl-qecc-data\2026-07-24_08-47-54_420595\experiment.txt","experiment.txt")</f>
        <v>experiment.txt</v>
      </c>
    </row>
    <row r="131" spans="8:23" x14ac:dyDescent="0.3">
      <c r="H131" t="s">
        <v>108</v>
      </c>
      <c r="I131">
        <v>2002</v>
      </c>
      <c r="J131" t="s">
        <v>22</v>
      </c>
      <c r="K131">
        <v>12</v>
      </c>
      <c r="M131" t="s">
        <v>26</v>
      </c>
      <c r="N131" t="s">
        <v>27</v>
      </c>
      <c r="O131">
        <v>0.1</v>
      </c>
      <c r="P131">
        <v>200</v>
      </c>
      <c r="Q131" t="s">
        <v>42</v>
      </c>
      <c r="R131">
        <v>3.0000000000000001E-3</v>
      </c>
      <c r="S131" t="s">
        <v>17</v>
      </c>
      <c r="V131" t="str">
        <f>HYPERLINK("c:\users\omer\rl-qecc-data\2026-07-24_15-07-14_445735\postProcessing.png","plot")</f>
        <v>plot</v>
      </c>
      <c r="W131" t="str">
        <f>HYPERLINK("c:\users\omer\rl-qecc-data\2026-07-24_15-07-14_445735\experiment.txt","experiment.txt")</f>
        <v>experiment.txt</v>
      </c>
    </row>
    <row r="132" spans="8:23" x14ac:dyDescent="0.3">
      <c r="H132" t="s">
        <v>109</v>
      </c>
      <c r="I132">
        <v>3003</v>
      </c>
      <c r="J132" t="s">
        <v>22</v>
      </c>
      <c r="K132">
        <v>12</v>
      </c>
      <c r="M132" t="s">
        <v>26</v>
      </c>
      <c r="N132" t="s">
        <v>27</v>
      </c>
      <c r="O132">
        <v>0.1</v>
      </c>
      <c r="P132">
        <v>200</v>
      </c>
      <c r="Q132" t="s">
        <v>42</v>
      </c>
      <c r="R132">
        <v>3.0000000000000001E-3</v>
      </c>
      <c r="S132" t="s">
        <v>17</v>
      </c>
      <c r="V132" t="str">
        <f>HYPERLINK("c:\users\omer\rl-qecc-data\2026-07-24_15-25-33_3911366\postProcessing.png","plot")</f>
        <v>plot</v>
      </c>
      <c r="W132" t="str">
        <f>HYPERLINK("c:\users\omer\rl-qecc-data\2026-07-24_15-25-33_3911366\experiment.txt","experiment.txt")</f>
        <v>experiment.txt</v>
      </c>
    </row>
    <row r="133" spans="8:23" x14ac:dyDescent="0.3">
      <c r="H133" t="s">
        <v>110</v>
      </c>
      <c r="I133">
        <v>4004</v>
      </c>
      <c r="J133" t="s">
        <v>22</v>
      </c>
      <c r="K133">
        <v>12</v>
      </c>
      <c r="M133" t="s">
        <v>26</v>
      </c>
      <c r="N133" t="s">
        <v>27</v>
      </c>
      <c r="O133">
        <v>0.1</v>
      </c>
      <c r="P133">
        <v>200</v>
      </c>
      <c r="Q133" t="s">
        <v>42</v>
      </c>
      <c r="R133">
        <v>3.0000000000000001E-3</v>
      </c>
      <c r="S133" t="s">
        <v>17</v>
      </c>
      <c r="V133" t="str">
        <f>HYPERLINK("c:\users\omer\rl-qecc-data\2026-07-24_15-26-23_3912066\postProcessing.png","plot")</f>
        <v>plot</v>
      </c>
      <c r="W133" t="str">
        <f>HYPERLINK("c:\users\omer\rl-qecc-data\2026-07-24_15-26-23_3912066\experiment.txt","experiment.txt")</f>
        <v>experiment.txt</v>
      </c>
    </row>
    <row r="134" spans="8:23" x14ac:dyDescent="0.3">
      <c r="H134" t="s">
        <v>111</v>
      </c>
      <c r="I134">
        <v>6006</v>
      </c>
      <c r="J134" t="s">
        <v>22</v>
      </c>
      <c r="K134">
        <v>12</v>
      </c>
      <c r="M134" t="s">
        <v>26</v>
      </c>
      <c r="N134" t="s">
        <v>27</v>
      </c>
      <c r="O134">
        <v>0.1</v>
      </c>
      <c r="P134">
        <v>200</v>
      </c>
      <c r="Q134" t="s">
        <v>42</v>
      </c>
      <c r="R134">
        <v>3.0000000000000001E-3</v>
      </c>
      <c r="S134" t="s">
        <v>17</v>
      </c>
      <c r="V134" t="str">
        <f>HYPERLINK("c:\users\omer\rl-qecc-data\2026-07-24_15-28-53_885563\postProcessing.png","plot")</f>
        <v>plot</v>
      </c>
      <c r="W134" t="str">
        <f>HYPERLINK("c:\users\omer\rl-qecc-data\2026-07-24_15-28-53_885563\experiment.txt","experiment.txt")</f>
        <v>experiment.txt</v>
      </c>
    </row>
    <row r="135" spans="8:23" x14ac:dyDescent="0.3">
      <c r="H135" t="s">
        <v>112</v>
      </c>
      <c r="I135">
        <v>1001</v>
      </c>
      <c r="J135" t="s">
        <v>22</v>
      </c>
      <c r="K135">
        <v>12</v>
      </c>
      <c r="M135" t="s">
        <v>26</v>
      </c>
      <c r="N135" t="s">
        <v>27</v>
      </c>
      <c r="O135">
        <v>0.1</v>
      </c>
      <c r="P135">
        <v>500</v>
      </c>
      <c r="Q135" t="s">
        <v>42</v>
      </c>
      <c r="R135">
        <v>3.0000000000000001E-3</v>
      </c>
      <c r="S135" t="s">
        <v>17</v>
      </c>
      <c r="V135" t="str">
        <f>HYPERLINK("c:\users\omer\rl-qecc-data\2026-07-24_15-30-55_886418\postProcessing.png","plot")</f>
        <v>plot</v>
      </c>
      <c r="W135" t="str">
        <f>HYPERLINK("c:\users\omer\rl-qecc-data\2026-07-24_15-30-55_886418\experiment.txt","experiment.txt")</f>
        <v>experiment.txt</v>
      </c>
    </row>
    <row r="136" spans="8:23" x14ac:dyDescent="0.3">
      <c r="H136" t="s">
        <v>113</v>
      </c>
      <c r="I136">
        <v>2002</v>
      </c>
      <c r="J136" t="s">
        <v>22</v>
      </c>
      <c r="K136">
        <v>12</v>
      </c>
      <c r="M136" t="s">
        <v>26</v>
      </c>
      <c r="N136" t="s">
        <v>27</v>
      </c>
      <c r="O136">
        <v>0.1</v>
      </c>
      <c r="P136">
        <v>500</v>
      </c>
      <c r="Q136" t="s">
        <v>42</v>
      </c>
      <c r="R136">
        <v>3.0000000000000001E-3</v>
      </c>
      <c r="S136" t="s">
        <v>17</v>
      </c>
      <c r="V136" t="str">
        <f>HYPERLINK("c:\users\omer\rl-qecc-data\2026-07-24_15-41-11_448860\postProcessing.png","plot")</f>
        <v>plot</v>
      </c>
      <c r="W136" t="str">
        <f>HYPERLINK("c:\users\omer\rl-qecc-data\2026-07-24_15-41-11_448860\experiment.txt","experiment.txt")</f>
        <v>experiment.txt</v>
      </c>
    </row>
    <row r="137" spans="8:23" x14ac:dyDescent="0.3">
      <c r="H137" t="s">
        <v>114</v>
      </c>
      <c r="I137">
        <v>3003</v>
      </c>
      <c r="J137" t="s">
        <v>22</v>
      </c>
      <c r="K137">
        <v>12</v>
      </c>
      <c r="M137" t="s">
        <v>26</v>
      </c>
      <c r="N137" t="s">
        <v>27</v>
      </c>
      <c r="O137">
        <v>0.1</v>
      </c>
      <c r="P137">
        <v>500</v>
      </c>
      <c r="Q137" t="s">
        <v>42</v>
      </c>
      <c r="R137">
        <v>3.0000000000000001E-3</v>
      </c>
      <c r="S137" t="s">
        <v>17</v>
      </c>
      <c r="V137" t="str">
        <f>HYPERLINK("c:\users\omer\rl-qecc-data\2026-07-24_15-53-48_3915772\postProcessing.png","plot")</f>
        <v>plot</v>
      </c>
      <c r="W137" t="str">
        <f>HYPERLINK("c:\users\omer\rl-qecc-data\2026-07-24_15-53-48_3915772\experiment.txt","experiment.txt")</f>
        <v>experiment.txt</v>
      </c>
    </row>
    <row r="138" spans="8:23" x14ac:dyDescent="0.3">
      <c r="H138" t="s">
        <v>216</v>
      </c>
      <c r="I138">
        <v>460101</v>
      </c>
      <c r="J138" t="s">
        <v>24</v>
      </c>
      <c r="K138">
        <v>1</v>
      </c>
      <c r="M138" t="s">
        <v>26</v>
      </c>
      <c r="N138" t="s">
        <v>27</v>
      </c>
      <c r="O138">
        <v>0.1</v>
      </c>
      <c r="P138">
        <v>20</v>
      </c>
      <c r="Q138" t="s">
        <v>28</v>
      </c>
      <c r="R138">
        <v>0.5</v>
      </c>
      <c r="S138" t="s">
        <v>17</v>
      </c>
      <c r="V138" t="str">
        <f>HYPERLINK("c:\users\omer\rl-qecc-data\2026-07-24_19-13-01_3929851\postProcessing.png","plot")</f>
        <v>plot</v>
      </c>
      <c r="W138" t="str">
        <f>HYPERLINK("c:\users\omer\rl-qecc-data\2026-07-24_19-13-01_3929851\experiment.txt","experiment.txt")</f>
        <v>experiment.txt</v>
      </c>
    </row>
    <row r="139" spans="8:23" x14ac:dyDescent="0.3">
      <c r="H139" t="s">
        <v>217</v>
      </c>
      <c r="I139">
        <v>5050</v>
      </c>
      <c r="J139" t="s">
        <v>36</v>
      </c>
      <c r="K139">
        <v>1</v>
      </c>
      <c r="M139" t="s">
        <v>26</v>
      </c>
      <c r="N139" t="s">
        <v>27</v>
      </c>
      <c r="O139">
        <v>0.1</v>
      </c>
      <c r="P139">
        <v>20</v>
      </c>
      <c r="Q139" t="s">
        <v>28</v>
      </c>
      <c r="R139">
        <v>0.5</v>
      </c>
      <c r="S139" t="s">
        <v>17</v>
      </c>
      <c r="V139" t="str">
        <f>HYPERLINK("c:\users\omer\rl-qecc-data\2026-07-24_19-13-01_467025\postProcessing.png","plot")</f>
        <v>plot</v>
      </c>
      <c r="W139" t="str">
        <f>HYPERLINK("c:\users\omer\rl-qecc-data\2026-07-24_19-13-01_467025\experiment.txt","experiment.txt")</f>
        <v>experiment.txt</v>
      </c>
    </row>
    <row r="140" spans="8:23" x14ac:dyDescent="0.3">
      <c r="H140" t="s">
        <v>218</v>
      </c>
      <c r="I140">
        <v>22222222</v>
      </c>
      <c r="J140" t="s">
        <v>22</v>
      </c>
      <c r="K140">
        <v>1</v>
      </c>
      <c r="M140" t="s">
        <v>26</v>
      </c>
      <c r="N140" t="s">
        <v>27</v>
      </c>
      <c r="O140">
        <v>0.1</v>
      </c>
      <c r="P140">
        <v>20</v>
      </c>
      <c r="Q140" t="s">
        <v>28</v>
      </c>
      <c r="R140">
        <v>0.5</v>
      </c>
      <c r="S140" t="s">
        <v>17</v>
      </c>
      <c r="V140" t="str">
        <f>HYPERLINK("c:\users\omer\rl-qecc-data\2026-07-24_19-13-01_901712\postProcessing.png","plot")</f>
        <v>plot</v>
      </c>
      <c r="W140" t="str">
        <f>HYPERLINK("c:\users\omer\rl-qecc-data\2026-07-24_19-13-01_901712\experiment.txt","experiment.txt")</f>
        <v>experiment.txt</v>
      </c>
    </row>
    <row r="141" spans="8:23" x14ac:dyDescent="0.3">
      <c r="H141" t="s">
        <v>219</v>
      </c>
      <c r="I141">
        <v>546564</v>
      </c>
      <c r="J141" t="s">
        <v>36</v>
      </c>
      <c r="K141">
        <v>1</v>
      </c>
      <c r="M141" t="s">
        <v>26</v>
      </c>
      <c r="N141" t="s">
        <v>27</v>
      </c>
      <c r="O141">
        <v>0.1</v>
      </c>
      <c r="P141">
        <v>20</v>
      </c>
      <c r="Q141" t="s">
        <v>28</v>
      </c>
      <c r="R141">
        <v>0.5</v>
      </c>
      <c r="S141" t="s">
        <v>17</v>
      </c>
      <c r="V141" t="str">
        <f>HYPERLINK("c:\users\omer\rl-qecc-data\2026-07-24_23-45-14_2201297\postProcessing.png","plot")</f>
        <v>plot</v>
      </c>
      <c r="W141" t="str">
        <f>HYPERLINK("c:\users\omer\rl-qecc-data\2026-07-24_23-45-14_2201297\experiment.txt","experiment.txt")</f>
        <v>experiment.txt</v>
      </c>
    </row>
    <row r="142" spans="8:23" x14ac:dyDescent="0.3">
      <c r="H142" t="s">
        <v>220</v>
      </c>
      <c r="I142">
        <v>468</v>
      </c>
      <c r="J142" t="s">
        <v>24</v>
      </c>
      <c r="K142">
        <v>1</v>
      </c>
      <c r="M142" t="s">
        <v>26</v>
      </c>
      <c r="N142" t="s">
        <v>27</v>
      </c>
      <c r="O142">
        <v>0.1</v>
      </c>
      <c r="P142">
        <v>20</v>
      </c>
      <c r="Q142" t="s">
        <v>28</v>
      </c>
      <c r="R142">
        <v>0.5</v>
      </c>
      <c r="S142" t="s">
        <v>17</v>
      </c>
      <c r="V142" t="str">
        <f>HYPERLINK("c:\users\omer\rl-qecc-data\2026-07-24_23-45-30_4178960\postProcessing.png","plot")</f>
        <v>plot</v>
      </c>
      <c r="W142" t="str">
        <f>HYPERLINK("c:\users\omer\rl-qecc-data\2026-07-24_23-45-30_4178960\experiment.txt","experiment.txt")</f>
        <v>experiment.txt</v>
      </c>
    </row>
    <row r="143" spans="8:23" x14ac:dyDescent="0.3">
      <c r="H143" t="s">
        <v>221</v>
      </c>
      <c r="I143">
        <v>1841</v>
      </c>
      <c r="J143" t="s">
        <v>51</v>
      </c>
      <c r="K143">
        <v>1</v>
      </c>
      <c r="M143" t="s">
        <v>26</v>
      </c>
      <c r="N143" t="s">
        <v>27</v>
      </c>
      <c r="O143">
        <v>0.1</v>
      </c>
      <c r="P143">
        <v>20</v>
      </c>
      <c r="Q143" t="s">
        <v>28</v>
      </c>
      <c r="R143">
        <v>0.5</v>
      </c>
      <c r="S143" t="s">
        <v>17</v>
      </c>
      <c r="V143" t="str">
        <f>HYPERLINK("c:\users\omer\rl-qecc-data\2026-07-24_23-46-00_3966205\postProcessing.png","plot")</f>
        <v>plot</v>
      </c>
      <c r="W143" t="str">
        <f>HYPERLINK("c:\users\omer\rl-qecc-data\2026-07-24_23-46-00_3966205\experiment.txt","experiment.txt")</f>
        <v>experiment.txt</v>
      </c>
    </row>
    <row r="144" spans="8:23" x14ac:dyDescent="0.3">
      <c r="H144" t="s">
        <v>222</v>
      </c>
      <c r="I144">
        <v>84846464</v>
      </c>
      <c r="J144" t="s">
        <v>24</v>
      </c>
      <c r="K144">
        <v>1</v>
      </c>
      <c r="M144" t="s">
        <v>26</v>
      </c>
      <c r="N144" t="s">
        <v>27</v>
      </c>
      <c r="O144">
        <v>0.1</v>
      </c>
      <c r="P144">
        <v>20</v>
      </c>
      <c r="Q144" t="s">
        <v>28</v>
      </c>
      <c r="R144">
        <v>0.5</v>
      </c>
      <c r="S144" t="s">
        <v>17</v>
      </c>
      <c r="V144" t="str">
        <f>HYPERLINK("c:\users\omer\rl-qecc-data\2026-07-24_23-47-11_4184388\postProcessing.png","plot")</f>
        <v>plot</v>
      </c>
      <c r="W144" t="str">
        <f>HYPERLINK("c:\users\omer\rl-qecc-data\2026-07-24_23-47-11_4184388\experiment.txt","experiment.txt")</f>
        <v>experiment.txt</v>
      </c>
    </row>
    <row r="145" spans="8:23" x14ac:dyDescent="0.3">
      <c r="H145" t="s">
        <v>223</v>
      </c>
      <c r="I145">
        <v>6856924</v>
      </c>
      <c r="J145" t="s">
        <v>36</v>
      </c>
      <c r="K145">
        <v>1</v>
      </c>
      <c r="M145" t="s">
        <v>26</v>
      </c>
      <c r="N145" t="s">
        <v>27</v>
      </c>
      <c r="O145">
        <v>0.1</v>
      </c>
      <c r="P145">
        <v>20</v>
      </c>
      <c r="Q145" t="s">
        <v>28</v>
      </c>
      <c r="R145">
        <v>0.5</v>
      </c>
      <c r="S145" t="s">
        <v>17</v>
      </c>
      <c r="V145" t="str">
        <f>HYPERLINK("c:\users\omer\rl-qecc-data\2026-07-24_23-47-12_1072256\postProcessing.png","plot")</f>
        <v>plot</v>
      </c>
      <c r="W145" t="str">
        <f>HYPERLINK("c:\users\omer\rl-qecc-data\2026-07-24_23-47-12_1072256\experiment.txt","experiment.txt")</f>
        <v>experiment.txt</v>
      </c>
    </row>
    <row r="146" spans="8:23" x14ac:dyDescent="0.3">
      <c r="H146" t="s">
        <v>224</v>
      </c>
      <c r="I146">
        <v>314159265</v>
      </c>
      <c r="J146" t="s">
        <v>51</v>
      </c>
      <c r="K146">
        <v>1</v>
      </c>
      <c r="M146" t="s">
        <v>26</v>
      </c>
      <c r="N146" t="s">
        <v>27</v>
      </c>
      <c r="O146">
        <v>0.1</v>
      </c>
      <c r="P146">
        <v>20</v>
      </c>
      <c r="Q146" t="s">
        <v>28</v>
      </c>
      <c r="R146">
        <v>0.5</v>
      </c>
      <c r="S146" t="s">
        <v>17</v>
      </c>
      <c r="V146" t="str">
        <f>HYPERLINK("c:\users\omer\rl-qecc-data\2026-07-24_23-48-10_1074248\postProcessing.png","plot")</f>
        <v>plot</v>
      </c>
      <c r="W146" t="str">
        <f>HYPERLINK("c:\users\omer\rl-qecc-data\2026-07-24_23-48-10_1074248\experiment.txt","experiment.txt")</f>
        <v>experiment.txt</v>
      </c>
    </row>
    <row r="147" spans="8:23" x14ac:dyDescent="0.3">
      <c r="H147" t="s">
        <v>225</v>
      </c>
      <c r="I147">
        <v>4</v>
      </c>
      <c r="J147" t="s">
        <v>36</v>
      </c>
      <c r="K147">
        <v>1</v>
      </c>
      <c r="M147" t="s">
        <v>26</v>
      </c>
      <c r="N147" t="s">
        <v>27</v>
      </c>
      <c r="O147">
        <v>0.1</v>
      </c>
      <c r="P147">
        <v>20</v>
      </c>
      <c r="Q147" t="s">
        <v>28</v>
      </c>
      <c r="R147">
        <v>0.5</v>
      </c>
      <c r="S147" t="s">
        <v>17</v>
      </c>
      <c r="V147" t="str">
        <f>HYPERLINK("c:\users\omer\rl-qecc-data\2026-07-24_23-49-17_2235803\postProcessing.png","plot")</f>
        <v>plot</v>
      </c>
      <c r="W147" t="str">
        <f>HYPERLINK("c:\users\omer\rl-qecc-data\2026-07-24_23-49-17_2235803\experiment.txt","experiment.txt")</f>
        <v>experiment.txt</v>
      </c>
    </row>
    <row r="148" spans="8:23" x14ac:dyDescent="0.3">
      <c r="H148" t="s">
        <v>226</v>
      </c>
      <c r="I148">
        <v>6</v>
      </c>
      <c r="J148" t="s">
        <v>51</v>
      </c>
      <c r="K148">
        <v>1</v>
      </c>
      <c r="M148" t="s">
        <v>26</v>
      </c>
      <c r="N148" t="s">
        <v>27</v>
      </c>
      <c r="O148">
        <v>0.1</v>
      </c>
      <c r="P148">
        <v>20</v>
      </c>
      <c r="Q148" t="s">
        <v>28</v>
      </c>
      <c r="R148">
        <v>0.5</v>
      </c>
      <c r="S148" t="s">
        <v>17</v>
      </c>
      <c r="V148" t="str">
        <f>HYPERLINK("c:\users\omer\rl-qecc-data\2026-07-24_23-49-17_2688\postProcessing.png","plot")</f>
        <v>plot</v>
      </c>
      <c r="W148" t="str">
        <f>HYPERLINK("c:\users\omer\rl-qecc-data\2026-07-24_23-49-17_2688\experiment.txt","experiment.txt")</f>
        <v>experiment.txt</v>
      </c>
    </row>
    <row r="149" spans="8:23" x14ac:dyDescent="0.3">
      <c r="H149" t="s">
        <v>227</v>
      </c>
      <c r="I149">
        <v>5</v>
      </c>
      <c r="J149" t="s">
        <v>24</v>
      </c>
      <c r="K149">
        <v>1</v>
      </c>
      <c r="M149" t="s">
        <v>26</v>
      </c>
      <c r="N149" t="s">
        <v>27</v>
      </c>
      <c r="O149">
        <v>0.1</v>
      </c>
      <c r="P149">
        <v>20</v>
      </c>
      <c r="Q149" t="s">
        <v>28</v>
      </c>
      <c r="R149">
        <v>0.5</v>
      </c>
      <c r="S149" t="s">
        <v>17</v>
      </c>
      <c r="V149" t="str">
        <f>HYPERLINK("c:\users\omer\rl-qecc-data\2026-07-24_23-49-47_1672344\postProcessing.png","plot")</f>
        <v>plot</v>
      </c>
      <c r="W149" t="str">
        <f>HYPERLINK("c:\users\omer\rl-qecc-data\2026-07-24_23-49-47_1672344\experiment.txt","experiment.txt")</f>
        <v>experiment.txt</v>
      </c>
    </row>
    <row r="150" spans="8:23" x14ac:dyDescent="0.3">
      <c r="H150" t="s">
        <v>228</v>
      </c>
      <c r="I150">
        <v>4684157</v>
      </c>
      <c r="J150" t="s">
        <v>24</v>
      </c>
      <c r="K150">
        <v>1</v>
      </c>
      <c r="M150" t="s">
        <v>26</v>
      </c>
      <c r="N150" t="s">
        <v>27</v>
      </c>
      <c r="O150">
        <v>0.1</v>
      </c>
      <c r="P150">
        <v>20</v>
      </c>
      <c r="Q150" t="s">
        <v>28</v>
      </c>
      <c r="R150">
        <v>0.5</v>
      </c>
      <c r="S150" t="s">
        <v>17</v>
      </c>
      <c r="V150" t="str">
        <f>HYPERLINK("c:\users\omer\rl-qecc-data\2026-07-24_23-51-47_2207626\postProcessing.png","plot")</f>
        <v>plot</v>
      </c>
      <c r="W150" t="str">
        <f>HYPERLINK("c:\users\omer\rl-qecc-data\2026-07-24_23-51-47_2207626\experiment.txt","experiment.txt")</f>
        <v>experiment.txt</v>
      </c>
    </row>
    <row r="151" spans="8:23" x14ac:dyDescent="0.3">
      <c r="H151" t="s">
        <v>229</v>
      </c>
      <c r="I151">
        <v>564184</v>
      </c>
      <c r="J151" t="s">
        <v>51</v>
      </c>
      <c r="K151">
        <v>1</v>
      </c>
      <c r="M151" t="s">
        <v>26</v>
      </c>
      <c r="N151" t="s">
        <v>27</v>
      </c>
      <c r="O151">
        <v>0.1</v>
      </c>
      <c r="P151">
        <v>20</v>
      </c>
      <c r="Q151" t="s">
        <v>28</v>
      </c>
      <c r="R151">
        <v>0.5</v>
      </c>
      <c r="S151" t="s">
        <v>17</v>
      </c>
      <c r="V151" t="str">
        <f>HYPERLINK("c:\users\omer\rl-qecc-data\2026-07-24_23-54-53_1288792\postProcessing.png","plot")</f>
        <v>plot</v>
      </c>
      <c r="W151" t="str">
        <f>HYPERLINK("c:\users\omer\rl-qecc-data\2026-07-24_23-54-53_1288792\experiment.txt","experiment.txt")</f>
        <v>experiment.txt</v>
      </c>
    </row>
    <row r="152" spans="8:23" x14ac:dyDescent="0.3">
      <c r="H152" t="s">
        <v>230</v>
      </c>
      <c r="I152">
        <v>478</v>
      </c>
      <c r="J152" t="s">
        <v>24</v>
      </c>
      <c r="K152">
        <v>1</v>
      </c>
      <c r="M152" t="s">
        <v>26</v>
      </c>
      <c r="N152" t="s">
        <v>27</v>
      </c>
      <c r="O152">
        <v>0.1</v>
      </c>
      <c r="P152">
        <v>20</v>
      </c>
      <c r="Q152" t="s">
        <v>28</v>
      </c>
      <c r="R152">
        <v>0.5</v>
      </c>
      <c r="S152" t="s">
        <v>17</v>
      </c>
      <c r="V152" t="str">
        <f>HYPERLINK("c:\users\omer\rl-qecc-data\2026-07-24_23-56-59_1699958\postProcessing.png","plot")</f>
        <v>plot</v>
      </c>
      <c r="W152" t="str">
        <f>HYPERLINK("c:\users\omer\rl-qecc-data\2026-07-24_23-56-59_1699958\experiment.txt","experiment.txt")</f>
        <v>experiment.txt</v>
      </c>
    </row>
    <row r="153" spans="8:23" x14ac:dyDescent="0.3">
      <c r="H153" t="s">
        <v>231</v>
      </c>
      <c r="I153">
        <v>3463475368</v>
      </c>
      <c r="J153" t="s">
        <v>36</v>
      </c>
      <c r="K153">
        <v>1</v>
      </c>
      <c r="M153" t="s">
        <v>26</v>
      </c>
      <c r="N153" t="s">
        <v>27</v>
      </c>
      <c r="O153">
        <v>0.1</v>
      </c>
      <c r="P153">
        <v>20</v>
      </c>
      <c r="Q153" t="s">
        <v>28</v>
      </c>
      <c r="R153">
        <v>0.5</v>
      </c>
      <c r="S153" t="s">
        <v>17</v>
      </c>
      <c r="V153" t="str">
        <f>HYPERLINK("c:\users\omer\rl-qecc-data\2026-07-24_23-56-59_1699959\postProcessing.png","plot")</f>
        <v>plot</v>
      </c>
      <c r="W153" t="str">
        <f>HYPERLINK("c:\users\omer\rl-qecc-data\2026-07-24_23-56-59_1699959\experiment.txt","experiment.txt")</f>
        <v>experiment.txt</v>
      </c>
    </row>
    <row r="154" spans="8:23" x14ac:dyDescent="0.3">
      <c r="H154" t="s">
        <v>232</v>
      </c>
      <c r="I154">
        <v>55376</v>
      </c>
      <c r="J154" t="s">
        <v>24</v>
      </c>
      <c r="K154">
        <v>1</v>
      </c>
      <c r="M154" t="s">
        <v>26</v>
      </c>
      <c r="N154" t="s">
        <v>27</v>
      </c>
      <c r="O154">
        <v>0.1</v>
      </c>
      <c r="P154">
        <v>20</v>
      </c>
      <c r="Q154" t="s">
        <v>28</v>
      </c>
      <c r="R154">
        <v>0.5</v>
      </c>
      <c r="S154" t="s">
        <v>17</v>
      </c>
      <c r="V154" t="str">
        <f>HYPERLINK("c:\users\omer\rl-qecc-data\2026-07-24_23-58-51_4001941\postProcessing.png","plot")</f>
        <v>plot</v>
      </c>
      <c r="W154" t="str">
        <f>HYPERLINK("c:\users\omer\rl-qecc-data\2026-07-24_23-58-51_4001941\experiment.txt","experiment.txt")</f>
        <v>experiment.txt</v>
      </c>
    </row>
    <row r="155" spans="8:23" x14ac:dyDescent="0.3">
      <c r="H155" t="s">
        <v>233</v>
      </c>
      <c r="I155">
        <v>64352663</v>
      </c>
      <c r="J155" t="s">
        <v>36</v>
      </c>
      <c r="K155">
        <v>1</v>
      </c>
      <c r="M155" t="s">
        <v>26</v>
      </c>
      <c r="N155" t="s">
        <v>27</v>
      </c>
      <c r="O155">
        <v>0.1</v>
      </c>
      <c r="P155">
        <v>20</v>
      </c>
      <c r="Q155" t="s">
        <v>28</v>
      </c>
      <c r="R155">
        <v>0.5</v>
      </c>
      <c r="S155" t="s">
        <v>17</v>
      </c>
      <c r="V155" t="str">
        <f>HYPERLINK("c:\users\omer\rl-qecc-data\2026-07-24_23-58-52_1342286\postProcessing.png","plot")</f>
        <v>plot</v>
      </c>
      <c r="W155" t="str">
        <f>HYPERLINK("c:\users\omer\rl-qecc-data\2026-07-24_23-58-52_1342286\experiment.txt","experiment.txt")</f>
        <v>experiment.txt</v>
      </c>
    </row>
    <row r="156" spans="8:23" x14ac:dyDescent="0.3">
      <c r="H156" t="s">
        <v>234</v>
      </c>
      <c r="I156">
        <v>6553</v>
      </c>
      <c r="J156" t="s">
        <v>51</v>
      </c>
      <c r="K156">
        <v>1</v>
      </c>
      <c r="M156" t="s">
        <v>26</v>
      </c>
      <c r="N156" t="s">
        <v>27</v>
      </c>
      <c r="O156">
        <v>0.1</v>
      </c>
      <c r="P156">
        <v>20</v>
      </c>
      <c r="Q156" t="s">
        <v>28</v>
      </c>
      <c r="R156">
        <v>0.5</v>
      </c>
      <c r="S156" t="s">
        <v>17</v>
      </c>
      <c r="V156" t="str">
        <f>HYPERLINK("c:\users\omer\rl-qecc-data\2026-07-25_00-25-04_3423577\postProcessing.png","plot")</f>
        <v>plot</v>
      </c>
      <c r="W156" t="str">
        <f>HYPERLINK("c:\users\omer\rl-qecc-data\2026-07-25_00-25-04_3423577\experiment.txt","experiment.txt")</f>
        <v>experiment.txt</v>
      </c>
    </row>
    <row r="157" spans="8:23" x14ac:dyDescent="0.3">
      <c r="H157" t="s">
        <v>235</v>
      </c>
      <c r="I157">
        <v>10100101</v>
      </c>
      <c r="J157" t="s">
        <v>36</v>
      </c>
      <c r="K157">
        <v>1</v>
      </c>
      <c r="M157" t="s">
        <v>26</v>
      </c>
      <c r="N157" t="s">
        <v>27</v>
      </c>
      <c r="O157">
        <v>0.1</v>
      </c>
      <c r="P157">
        <v>20</v>
      </c>
      <c r="Q157" t="s">
        <v>28</v>
      </c>
      <c r="R157">
        <v>0.5</v>
      </c>
      <c r="S157" t="s">
        <v>17</v>
      </c>
      <c r="V157" t="str">
        <f>HYPERLINK("c:\users\omer\rl-qecc-data\2026-07-25_00-28-17_1846618\postProcessing.png","plot")</f>
        <v>plot</v>
      </c>
      <c r="W157" t="str">
        <f>HYPERLINK("c:\users\omer\rl-qecc-data\2026-07-25_00-28-17_1846618\experiment.txt","experiment.txt")</f>
        <v>experiment.txt</v>
      </c>
    </row>
    <row r="158" spans="8:23" x14ac:dyDescent="0.3">
      <c r="H158" t="s">
        <v>236</v>
      </c>
      <c r="I158">
        <v>202020</v>
      </c>
      <c r="J158" t="s">
        <v>24</v>
      </c>
      <c r="K158">
        <v>1</v>
      </c>
      <c r="M158" t="s">
        <v>26</v>
      </c>
      <c r="N158" t="s">
        <v>27</v>
      </c>
      <c r="O158">
        <v>0.1</v>
      </c>
      <c r="P158">
        <v>20</v>
      </c>
      <c r="Q158" t="s">
        <v>28</v>
      </c>
      <c r="R158">
        <v>0.5</v>
      </c>
      <c r="S158" t="s">
        <v>17</v>
      </c>
      <c r="V158" t="str">
        <f>HYPERLINK("c:\users\omer\rl-qecc-data\2026-07-25_00-29-37_1857095\postProcessing.png","plot")</f>
        <v>plot</v>
      </c>
      <c r="W158" t="str">
        <f>HYPERLINK("c:\users\omer\rl-qecc-data\2026-07-25_00-29-37_1857095\experiment.txt","experiment.txt")</f>
        <v>experiment.txt</v>
      </c>
    </row>
    <row r="159" spans="8:23" x14ac:dyDescent="0.3">
      <c r="H159" t="s">
        <v>237</v>
      </c>
      <c r="I159">
        <v>303030</v>
      </c>
      <c r="J159" t="s">
        <v>51</v>
      </c>
      <c r="K159">
        <v>1</v>
      </c>
      <c r="M159" t="s">
        <v>26</v>
      </c>
      <c r="N159" t="s">
        <v>27</v>
      </c>
      <c r="O159">
        <v>0.1</v>
      </c>
      <c r="P159">
        <v>20</v>
      </c>
      <c r="Q159" t="s">
        <v>28</v>
      </c>
      <c r="R159">
        <v>0.5</v>
      </c>
      <c r="S159" t="s">
        <v>17</v>
      </c>
      <c r="V159" t="str">
        <f>HYPERLINK("c:\users\omer\rl-qecc-data\2026-07-25_00-30-22_1861746\postProcessing.png","plot")</f>
        <v>plot</v>
      </c>
      <c r="W159" t="str">
        <f>HYPERLINK("c:\users\omer\rl-qecc-data\2026-07-25_00-30-22_1861746\experiment.txt","experiment.txt")</f>
        <v>experiment.txt</v>
      </c>
    </row>
    <row r="160" spans="8:23" x14ac:dyDescent="0.3">
      <c r="H160" t="s">
        <v>238</v>
      </c>
      <c r="I160">
        <v>54851638</v>
      </c>
      <c r="J160" t="s">
        <v>36</v>
      </c>
      <c r="K160">
        <v>1</v>
      </c>
      <c r="M160" t="s">
        <v>26</v>
      </c>
      <c r="N160" t="s">
        <v>27</v>
      </c>
      <c r="O160">
        <v>0.1</v>
      </c>
      <c r="P160">
        <v>20</v>
      </c>
      <c r="Q160" t="s">
        <v>28</v>
      </c>
      <c r="R160">
        <v>0.5</v>
      </c>
      <c r="S160" t="s">
        <v>17</v>
      </c>
      <c r="V160" t="str">
        <f>HYPERLINK("c:\users\omer\rl-qecc-data\2026-07-25_01-20-12_1998550\postProcessing.png","plot")</f>
        <v>plot</v>
      </c>
      <c r="W160" t="str">
        <f>HYPERLINK("c:\users\omer\rl-qecc-data\2026-07-25_01-20-12_1998550\experiment.txt","experiment.txt")</f>
        <v>experiment.txt</v>
      </c>
    </row>
    <row r="161" spans="8:23" x14ac:dyDescent="0.3">
      <c r="H161" t="s">
        <v>239</v>
      </c>
      <c r="I161">
        <v>65312321</v>
      </c>
      <c r="J161" t="s">
        <v>24</v>
      </c>
      <c r="K161">
        <v>1</v>
      </c>
      <c r="M161" t="s">
        <v>26</v>
      </c>
      <c r="N161" t="s">
        <v>27</v>
      </c>
      <c r="O161">
        <v>0.1</v>
      </c>
      <c r="P161">
        <v>20</v>
      </c>
      <c r="Q161" t="s">
        <v>28</v>
      </c>
      <c r="R161">
        <v>0.5</v>
      </c>
      <c r="S161" t="s">
        <v>17</v>
      </c>
      <c r="V161" t="str">
        <f>HYPERLINK("c:\users\omer\rl-qecc-data\2026-07-25_01-21-17_391983\postProcessing.png","plot")</f>
        <v>plot</v>
      </c>
      <c r="W161" t="str">
        <f>HYPERLINK("c:\users\omer\rl-qecc-data\2026-07-25_01-21-17_391983\experiment.txt","experiment.txt")</f>
        <v>experiment.txt</v>
      </c>
    </row>
    <row r="162" spans="8:23" x14ac:dyDescent="0.3">
      <c r="H162" t="s">
        <v>240</v>
      </c>
      <c r="I162">
        <v>25925907</v>
      </c>
      <c r="J162" t="s">
        <v>51</v>
      </c>
      <c r="K162">
        <v>1</v>
      </c>
      <c r="M162" t="s">
        <v>26</v>
      </c>
      <c r="N162" t="s">
        <v>27</v>
      </c>
      <c r="O162">
        <v>0.1</v>
      </c>
      <c r="P162">
        <v>20</v>
      </c>
      <c r="Q162" t="s">
        <v>28</v>
      </c>
      <c r="R162">
        <v>0.5</v>
      </c>
      <c r="S162" t="s">
        <v>17</v>
      </c>
      <c r="V162" t="str">
        <f>HYPERLINK("c:\users\omer\rl-qecc-data\2026-07-25_01-22-18_2842268\postProcessing.png","plot")</f>
        <v>plot</v>
      </c>
      <c r="W162" t="str">
        <f>HYPERLINK("c:\users\omer\rl-qecc-data\2026-07-25_01-22-18_2842268\experiment.txt","experiment.txt")</f>
        <v>experiment.txt</v>
      </c>
    </row>
    <row r="163" spans="8:23" x14ac:dyDescent="0.3">
      <c r="H163" t="s">
        <v>241</v>
      </c>
      <c r="I163">
        <v>710936838</v>
      </c>
      <c r="J163" t="s">
        <v>51</v>
      </c>
      <c r="K163">
        <v>1</v>
      </c>
      <c r="M163" t="s">
        <v>242</v>
      </c>
      <c r="N163" t="s">
        <v>27</v>
      </c>
      <c r="O163">
        <v>0.1</v>
      </c>
      <c r="P163">
        <v>10</v>
      </c>
      <c r="Q163" t="s">
        <v>28</v>
      </c>
      <c r="R163">
        <v>0.5</v>
      </c>
      <c r="S163" t="s">
        <v>17</v>
      </c>
      <c r="V163" t="str">
        <f>HYPERLINK("c:\users\omer\rl-qecc-data\2026-07-25_01-36-23_4040792\postProcessing.png","plot")</f>
        <v>plot</v>
      </c>
      <c r="W163" t="str">
        <f>HYPERLINK("c:\users\omer\rl-qecc-data\2026-07-25_01-36-23_4040792\experiment.txt","experiment.txt")</f>
        <v>experiment.txt</v>
      </c>
    </row>
    <row r="164" spans="8:23" x14ac:dyDescent="0.3">
      <c r="H164" t="s">
        <v>243</v>
      </c>
      <c r="I164">
        <v>546564</v>
      </c>
      <c r="J164" t="s">
        <v>36</v>
      </c>
      <c r="K164">
        <v>1</v>
      </c>
      <c r="M164" t="s">
        <v>26</v>
      </c>
      <c r="N164" t="s">
        <v>27</v>
      </c>
      <c r="O164">
        <v>0.1</v>
      </c>
      <c r="P164">
        <v>20</v>
      </c>
      <c r="Q164" t="s">
        <v>28</v>
      </c>
      <c r="R164">
        <v>0.5</v>
      </c>
      <c r="S164" t="s">
        <v>17</v>
      </c>
      <c r="V164" t="str">
        <f>HYPERLINK("c:\users\omer\rl-qecc-data\2026-07-25_01-38-33_67307\postProcessing.png","plot")</f>
        <v>plot</v>
      </c>
      <c r="W164" t="str">
        <f>HYPERLINK("c:\users\omer\rl-qecc-data\2026-07-25_01-38-33_67307\experiment.txt","experiment.txt")</f>
        <v>experiment.txt</v>
      </c>
    </row>
    <row r="165" spans="8:23" x14ac:dyDescent="0.3">
      <c r="H165" t="s">
        <v>244</v>
      </c>
      <c r="I165">
        <v>619864265</v>
      </c>
      <c r="J165" t="s">
        <v>24</v>
      </c>
      <c r="K165">
        <v>1</v>
      </c>
      <c r="M165" t="s">
        <v>242</v>
      </c>
      <c r="N165" t="s">
        <v>27</v>
      </c>
      <c r="O165">
        <v>0.1</v>
      </c>
      <c r="P165">
        <v>10</v>
      </c>
      <c r="Q165" t="s">
        <v>28</v>
      </c>
      <c r="R165">
        <v>0.5</v>
      </c>
      <c r="S165" t="s">
        <v>17</v>
      </c>
      <c r="V165" t="str">
        <f>HYPERLINK("c:\users\omer\rl-qecc-data\2026-07-25_01-38-49_1447335\postProcessing.png","plot")</f>
        <v>plot</v>
      </c>
      <c r="W165" t="str">
        <f>HYPERLINK("c:\users\omer\rl-qecc-data\2026-07-25_01-38-49_1447335\experiment.txt","experiment.txt")</f>
        <v>experiment.txt</v>
      </c>
    </row>
    <row r="166" spans="8:23" x14ac:dyDescent="0.3">
      <c r="H166" t="s">
        <v>245</v>
      </c>
      <c r="I166">
        <v>442109015</v>
      </c>
      <c r="J166" t="s">
        <v>36</v>
      </c>
      <c r="K166">
        <v>1</v>
      </c>
      <c r="M166" t="s">
        <v>242</v>
      </c>
      <c r="N166" t="s">
        <v>27</v>
      </c>
      <c r="O166">
        <v>0.1</v>
      </c>
      <c r="P166">
        <v>10</v>
      </c>
      <c r="Q166" t="s">
        <v>28</v>
      </c>
      <c r="R166">
        <v>0.5</v>
      </c>
      <c r="S166" t="s">
        <v>17</v>
      </c>
      <c r="V166" t="str">
        <f>HYPERLINK("c:\users\omer\rl-qecc-data\2026-07-25_01-42-55_2807283\postProcessing.png","plot")</f>
        <v>plot</v>
      </c>
      <c r="W166" t="str">
        <f>HYPERLINK("c:\users\omer\rl-qecc-data\2026-07-25_01-42-55_2807283\experiment.txt","experiment.txt")</f>
        <v>experiment.txt</v>
      </c>
    </row>
    <row r="167" spans="8:23" x14ac:dyDescent="0.3">
      <c r="H167" t="s">
        <v>246</v>
      </c>
      <c r="I167">
        <v>397755542</v>
      </c>
      <c r="J167" t="s">
        <v>24</v>
      </c>
      <c r="K167">
        <v>1</v>
      </c>
      <c r="M167" t="s">
        <v>242</v>
      </c>
      <c r="N167" t="s">
        <v>27</v>
      </c>
      <c r="O167">
        <v>0.1</v>
      </c>
      <c r="P167">
        <v>10</v>
      </c>
      <c r="Q167" t="s">
        <v>28</v>
      </c>
      <c r="R167">
        <v>0.5</v>
      </c>
      <c r="S167" t="s">
        <v>17</v>
      </c>
      <c r="V167" t="str">
        <f>HYPERLINK("c:\users\omer\rl-qecc-data\2026-07-25_01-48-29_716059\postProcessing.png","plot")</f>
        <v>plot</v>
      </c>
      <c r="W167" t="str">
        <f>HYPERLINK("c:\users\omer\rl-qecc-data\2026-07-25_01-48-29_716059\experiment.txt","experiment.txt")</f>
        <v>experiment.txt</v>
      </c>
    </row>
    <row r="168" spans="8:23" x14ac:dyDescent="0.3">
      <c r="H168" t="s">
        <v>247</v>
      </c>
      <c r="I168">
        <v>403851061</v>
      </c>
      <c r="J168" t="s">
        <v>36</v>
      </c>
      <c r="K168">
        <v>1</v>
      </c>
      <c r="M168" t="s">
        <v>242</v>
      </c>
      <c r="N168" t="s">
        <v>27</v>
      </c>
      <c r="O168">
        <v>0.1</v>
      </c>
      <c r="P168">
        <v>10</v>
      </c>
      <c r="Q168" t="s">
        <v>28</v>
      </c>
      <c r="R168">
        <v>0.5</v>
      </c>
      <c r="S168" t="s">
        <v>17</v>
      </c>
      <c r="V168" t="str">
        <f>HYPERLINK("c:\users\omer\rl-qecc-data\2026-07-25_01-54-43_807373\postProcessing.png","plot")</f>
        <v>plot</v>
      </c>
      <c r="W168" t="str">
        <f>HYPERLINK("c:\users\omer\rl-qecc-data\2026-07-25_01-54-43_807373\experiment.txt","experiment.txt")</f>
        <v>experiment.txt</v>
      </c>
    </row>
    <row r="169" spans="8:23" x14ac:dyDescent="0.3">
      <c r="H169" t="s">
        <v>248</v>
      </c>
      <c r="I169">
        <v>468</v>
      </c>
      <c r="J169" t="s">
        <v>24</v>
      </c>
      <c r="K169">
        <v>1</v>
      </c>
      <c r="M169" t="s">
        <v>26</v>
      </c>
      <c r="N169" t="s">
        <v>27</v>
      </c>
      <c r="O169">
        <v>0.1</v>
      </c>
      <c r="P169">
        <v>20</v>
      </c>
      <c r="Q169" t="s">
        <v>28</v>
      </c>
      <c r="R169">
        <v>0.5</v>
      </c>
      <c r="S169" t="s">
        <v>17</v>
      </c>
      <c r="V169" t="str">
        <f>HYPERLINK("c:\users\omer\rl-qecc-data\2026-07-25_02-20-11_2818149\postProcessing.png","plot")</f>
        <v>plot</v>
      </c>
      <c r="W169" t="str">
        <f>HYPERLINK("c:\users\omer\rl-qecc-data\2026-07-25_02-20-11_2818149\experiment.txt","experiment.txt")</f>
        <v>experiment.txt</v>
      </c>
    </row>
    <row r="170" spans="8:23" x14ac:dyDescent="0.3">
      <c r="H170" t="s">
        <v>249</v>
      </c>
      <c r="I170">
        <v>466555</v>
      </c>
      <c r="J170" t="s">
        <v>51</v>
      </c>
      <c r="K170">
        <v>1</v>
      </c>
      <c r="M170" t="s">
        <v>26</v>
      </c>
      <c r="N170" t="s">
        <v>27</v>
      </c>
      <c r="O170">
        <v>0.1</v>
      </c>
      <c r="P170">
        <v>20</v>
      </c>
      <c r="Q170" t="s">
        <v>28</v>
      </c>
      <c r="R170">
        <v>0.5</v>
      </c>
      <c r="S170" t="s">
        <v>17</v>
      </c>
      <c r="V170" t="str">
        <f>HYPERLINK("c:\users\omer\rl-qecc-data\2026-07-25_10-29-46_963285\postProcessing.png","plot")</f>
        <v>plot</v>
      </c>
      <c r="W170" t="str">
        <f>HYPERLINK("c:\users\omer\rl-qecc-data\2026-07-25_10-29-46_963285\experiment.txt","experiment.txt")</f>
        <v>experiment.txt</v>
      </c>
    </row>
    <row r="171" spans="8:23" x14ac:dyDescent="0.3">
      <c r="H171" t="s">
        <v>250</v>
      </c>
      <c r="I171">
        <v>34653545</v>
      </c>
      <c r="J171" t="s">
        <v>22</v>
      </c>
      <c r="K171">
        <v>1</v>
      </c>
      <c r="M171" t="s">
        <v>26</v>
      </c>
      <c r="N171" t="s">
        <v>27</v>
      </c>
      <c r="O171">
        <v>0.1</v>
      </c>
      <c r="P171">
        <v>20</v>
      </c>
      <c r="Q171" t="s">
        <v>28</v>
      </c>
      <c r="R171">
        <v>0.5</v>
      </c>
      <c r="S171" t="s">
        <v>17</v>
      </c>
      <c r="V171" t="str">
        <f>HYPERLINK("c:\users\omer\rl-qecc-data\2026-07-25_20-43-47_1001371\postProcessing.png","plot")</f>
        <v>plot</v>
      </c>
      <c r="W171" t="str">
        <f>HYPERLINK("c:\users\omer\rl-qecc-data\2026-07-25_20-43-47_1001371\experiment.txt","experiment.txt")</f>
        <v>experiment.txt</v>
      </c>
    </row>
    <row r="172" spans="8:23" x14ac:dyDescent="0.3">
      <c r="H172" t="s">
        <v>251</v>
      </c>
      <c r="I172">
        <v>34645628</v>
      </c>
      <c r="J172" t="s">
        <v>22</v>
      </c>
      <c r="K172">
        <v>1</v>
      </c>
      <c r="M172" t="s">
        <v>26</v>
      </c>
      <c r="N172" t="s">
        <v>27</v>
      </c>
      <c r="O172">
        <v>0.1</v>
      </c>
      <c r="P172">
        <v>20</v>
      </c>
      <c r="Q172" t="s">
        <v>28</v>
      </c>
      <c r="R172">
        <v>0.5</v>
      </c>
      <c r="S172" t="s">
        <v>17</v>
      </c>
      <c r="V172" t="str">
        <f>HYPERLINK("c:\users\omer\rl-qecc-data\2026-07-25_20-43-47_4025676\postProcessing.png","plot")</f>
        <v>plot</v>
      </c>
      <c r="W172" t="str">
        <f>HYPERLINK("c:\users\omer\rl-qecc-data\2026-07-25_20-43-47_4025676\experiment.txt","experiment.txt")</f>
        <v>experiment.txt</v>
      </c>
    </row>
    <row r="173" spans="8:23" x14ac:dyDescent="0.3">
      <c r="H173" t="s">
        <v>252</v>
      </c>
      <c r="I173">
        <v>34661465</v>
      </c>
      <c r="J173" t="s">
        <v>22</v>
      </c>
      <c r="K173">
        <v>1</v>
      </c>
      <c r="M173" t="s">
        <v>26</v>
      </c>
      <c r="N173" t="s">
        <v>27</v>
      </c>
      <c r="O173">
        <v>0.1</v>
      </c>
      <c r="P173">
        <v>20</v>
      </c>
      <c r="Q173" t="s">
        <v>28</v>
      </c>
      <c r="R173">
        <v>0.5</v>
      </c>
      <c r="S173" t="s">
        <v>17</v>
      </c>
      <c r="V173" t="str">
        <f>HYPERLINK("c:\users\omer\rl-qecc-data\2026-07-25_20-43-47_559273\postProcessing.png","plot")</f>
        <v>plot</v>
      </c>
      <c r="W173" t="str">
        <f>HYPERLINK("c:\users\omer\rl-qecc-data\2026-07-25_20-43-47_559273\experiment.txt","experiment.txt")</f>
        <v>experiment.txt</v>
      </c>
    </row>
    <row r="174" spans="8:23" x14ac:dyDescent="0.3">
      <c r="H174" t="s">
        <v>253</v>
      </c>
      <c r="I174">
        <v>34732735</v>
      </c>
      <c r="J174" t="s">
        <v>22</v>
      </c>
      <c r="K174">
        <v>1</v>
      </c>
      <c r="M174" t="s">
        <v>26</v>
      </c>
      <c r="N174" t="s">
        <v>27</v>
      </c>
      <c r="O174">
        <v>0.1</v>
      </c>
      <c r="P174">
        <v>20</v>
      </c>
      <c r="Q174" t="s">
        <v>28</v>
      </c>
      <c r="R174">
        <v>0.5</v>
      </c>
      <c r="S174" t="s">
        <v>17</v>
      </c>
      <c r="V174" t="str">
        <f>HYPERLINK("c:\users\omer\rl-qecc-data\2026-07-26_13-06-23_1057221\postProcessing.png","plot")</f>
        <v>plot</v>
      </c>
      <c r="W174" t="str">
        <f>HYPERLINK("c:\users\omer\rl-qecc-data\2026-07-26_13-06-23_1057221\experiment.txt","experiment.txt")</f>
        <v>experiment.txt</v>
      </c>
    </row>
    <row r="175" spans="8:23" x14ac:dyDescent="0.3">
      <c r="H175" t="s">
        <v>254</v>
      </c>
      <c r="I175">
        <v>34740655</v>
      </c>
      <c r="J175" t="s">
        <v>22</v>
      </c>
      <c r="K175">
        <v>1</v>
      </c>
      <c r="M175" t="s">
        <v>26</v>
      </c>
      <c r="N175" t="s">
        <v>27</v>
      </c>
      <c r="O175">
        <v>0.1</v>
      </c>
      <c r="P175">
        <v>20</v>
      </c>
      <c r="Q175" t="s">
        <v>28</v>
      </c>
      <c r="R175">
        <v>0.5</v>
      </c>
      <c r="S175" t="s">
        <v>17</v>
      </c>
      <c r="V175" t="str">
        <f>HYPERLINK("c:\users\omer\rl-qecc-data\2026-07-26_13-06-23_615504\postProcessing.png","plot")</f>
        <v>plot</v>
      </c>
      <c r="W175" t="str">
        <f>HYPERLINK("c:\users\omer\rl-qecc-data\2026-07-26_13-06-23_615504\experiment.txt","experiment.txt")</f>
        <v>experiment.txt</v>
      </c>
    </row>
    <row r="176" spans="8:23" x14ac:dyDescent="0.3">
      <c r="H176" t="s">
        <v>255</v>
      </c>
      <c r="I176">
        <v>34724818</v>
      </c>
      <c r="J176" t="s">
        <v>22</v>
      </c>
      <c r="K176">
        <v>1</v>
      </c>
      <c r="M176" t="s">
        <v>26</v>
      </c>
      <c r="N176" t="s">
        <v>27</v>
      </c>
      <c r="O176">
        <v>0.1</v>
      </c>
      <c r="P176">
        <v>20</v>
      </c>
      <c r="Q176" t="s">
        <v>28</v>
      </c>
      <c r="R176">
        <v>0.5</v>
      </c>
      <c r="S176" t="s">
        <v>17</v>
      </c>
      <c r="V176" t="str">
        <f>HYPERLINK("c:\users\omer\rl-qecc-data\2026-07-26_13-06-36_4085276\postProcessing.png","plot")</f>
        <v>plot</v>
      </c>
      <c r="W176" t="str">
        <f>HYPERLINK("c:\users\omer\rl-qecc-data\2026-07-26_13-06-36_4085276\experiment.txt","experiment.txt")</f>
        <v>experiment.txt</v>
      </c>
    </row>
    <row r="177" spans="8:23" x14ac:dyDescent="0.3">
      <c r="H177" t="s">
        <v>256</v>
      </c>
      <c r="I177">
        <v>65312321</v>
      </c>
      <c r="J177" t="s">
        <v>24</v>
      </c>
      <c r="K177">
        <v>1</v>
      </c>
      <c r="M177" t="s">
        <v>26</v>
      </c>
      <c r="N177" t="s">
        <v>27</v>
      </c>
      <c r="O177">
        <v>0.1</v>
      </c>
      <c r="P177">
        <v>20</v>
      </c>
      <c r="Q177" t="s">
        <v>28</v>
      </c>
      <c r="R177">
        <v>0.5</v>
      </c>
      <c r="S177" t="s">
        <v>17</v>
      </c>
      <c r="V177" t="str">
        <f>HYPERLINK("c:\users\omer\rl-qecc-data\2026-07-26_13-29-16_898255\postProcessing.png","plot")</f>
        <v>plot</v>
      </c>
      <c r="W177" t="str">
        <f>HYPERLINK("c:\users\omer\rl-qecc-data\2026-07-26_13-29-16_898255\experiment.txt","experiment.txt")</f>
        <v>experiment.txt</v>
      </c>
    </row>
    <row r="178" spans="8:23" x14ac:dyDescent="0.3">
      <c r="H178" t="s">
        <v>257</v>
      </c>
      <c r="I178">
        <v>54851638</v>
      </c>
      <c r="J178" t="s">
        <v>36</v>
      </c>
      <c r="K178">
        <v>1</v>
      </c>
      <c r="M178" t="s">
        <v>26</v>
      </c>
      <c r="N178" t="s">
        <v>27</v>
      </c>
      <c r="O178">
        <v>0.1</v>
      </c>
      <c r="P178">
        <v>20</v>
      </c>
      <c r="Q178" t="s">
        <v>28</v>
      </c>
      <c r="R178">
        <v>0.5</v>
      </c>
      <c r="S178" t="s">
        <v>17</v>
      </c>
      <c r="V178" t="str">
        <f>HYPERLINK("c:\users\omer\rl-qecc-data\2026-07-26_13-29-16_898256\postProcessing.png","plot")</f>
        <v>plot</v>
      </c>
      <c r="W178" t="str">
        <f>HYPERLINK("c:\users\omer\rl-qecc-data\2026-07-26_13-29-16_898256\experiment.txt","experiment.txt")</f>
        <v>experiment.txt</v>
      </c>
    </row>
    <row r="179" spans="8:23" x14ac:dyDescent="0.3">
      <c r="H179" t="s">
        <v>258</v>
      </c>
      <c r="I179">
        <v>25925907</v>
      </c>
      <c r="J179" t="s">
        <v>51</v>
      </c>
      <c r="K179">
        <v>1</v>
      </c>
      <c r="M179" t="s">
        <v>26</v>
      </c>
      <c r="N179" t="s">
        <v>27</v>
      </c>
      <c r="O179">
        <v>0.1</v>
      </c>
      <c r="P179">
        <v>20</v>
      </c>
      <c r="Q179" t="s">
        <v>28</v>
      </c>
      <c r="R179">
        <v>0.5</v>
      </c>
      <c r="S179" t="s">
        <v>17</v>
      </c>
      <c r="V179" t="str">
        <f>HYPERLINK("c:\users\omer\rl-qecc-data\2026-07-26_13-29-16_898308\postProcessing.png","plot")</f>
        <v>plot</v>
      </c>
      <c r="W179" t="str">
        <f>HYPERLINK("c:\users\omer\rl-qecc-data\2026-07-26_13-29-16_898308\experiment.txt","experiment.txt")</f>
        <v>experiment.txt</v>
      </c>
    </row>
    <row r="180" spans="8:23" x14ac:dyDescent="0.3">
      <c r="H180" t="s">
        <v>259</v>
      </c>
      <c r="I180">
        <v>1841</v>
      </c>
      <c r="J180" t="s">
        <v>51</v>
      </c>
      <c r="K180">
        <v>1</v>
      </c>
      <c r="M180" t="s">
        <v>26</v>
      </c>
      <c r="N180" t="s">
        <v>27</v>
      </c>
      <c r="O180">
        <v>0.1</v>
      </c>
      <c r="P180">
        <v>20</v>
      </c>
      <c r="Q180" t="s">
        <v>28</v>
      </c>
      <c r="R180">
        <v>0.5</v>
      </c>
      <c r="S180" t="s">
        <v>17</v>
      </c>
      <c r="V180" t="str">
        <f>HYPERLINK("c:\users\omer\rl-qecc-data\2026-07-26_13-29-41_1731002\postProcessing.png","plot")</f>
        <v>plot</v>
      </c>
      <c r="W180" t="str">
        <f>HYPERLINK("c:\users\omer\rl-qecc-data\2026-07-26_13-29-41_1731002\experiment.txt","experiment.txt")</f>
        <v>experiment.txt</v>
      </c>
    </row>
    <row r="181" spans="8:23" x14ac:dyDescent="0.3">
      <c r="H181" t="s">
        <v>260</v>
      </c>
      <c r="I181">
        <v>6856924</v>
      </c>
      <c r="J181" t="s">
        <v>36</v>
      </c>
      <c r="K181">
        <v>1</v>
      </c>
      <c r="M181" t="s">
        <v>26</v>
      </c>
      <c r="N181" t="s">
        <v>27</v>
      </c>
      <c r="O181">
        <v>0.1</v>
      </c>
      <c r="P181">
        <v>20</v>
      </c>
      <c r="Q181" t="s">
        <v>28</v>
      </c>
      <c r="R181">
        <v>0.5</v>
      </c>
      <c r="S181" t="s">
        <v>17</v>
      </c>
      <c r="V181" t="str">
        <f>HYPERLINK("c:\users\omer\rl-qecc-data\2026-07-26_13-29-41_2491993\postProcessing.png","plot")</f>
        <v>plot</v>
      </c>
      <c r="W181" t="str">
        <f>HYPERLINK("c:\users\omer\rl-qecc-data\2026-07-26_13-29-41_2491993\experiment.txt","experiment.txt")</f>
        <v>experiment.txt</v>
      </c>
    </row>
    <row r="182" spans="8:23" x14ac:dyDescent="0.3">
      <c r="H182" t="s">
        <v>261</v>
      </c>
      <c r="I182">
        <v>84846464</v>
      </c>
      <c r="J182" t="s">
        <v>24</v>
      </c>
      <c r="K182">
        <v>1</v>
      </c>
      <c r="M182" t="s">
        <v>26</v>
      </c>
      <c r="N182" t="s">
        <v>27</v>
      </c>
      <c r="O182">
        <v>0.1</v>
      </c>
      <c r="P182">
        <v>20</v>
      </c>
      <c r="Q182" t="s">
        <v>28</v>
      </c>
      <c r="R182">
        <v>0.5</v>
      </c>
      <c r="S182" t="s">
        <v>17</v>
      </c>
      <c r="V182" t="str">
        <f>HYPERLINK("c:\users\omer\rl-qecc-data\2026-07-26_13-29-41_2491994\postProcessing.png","plot")</f>
        <v>plot</v>
      </c>
      <c r="W182" t="str">
        <f>HYPERLINK("c:\users\omer\rl-qecc-data\2026-07-26_13-29-41_2491994\experiment.txt","experiment.txt")</f>
        <v>experiment.txt</v>
      </c>
    </row>
    <row r="183" spans="8:23" x14ac:dyDescent="0.3">
      <c r="H183" t="s">
        <v>262</v>
      </c>
      <c r="I183">
        <v>314159265</v>
      </c>
      <c r="J183" t="s">
        <v>51</v>
      </c>
      <c r="K183">
        <v>1</v>
      </c>
      <c r="M183" t="s">
        <v>26</v>
      </c>
      <c r="N183" t="s">
        <v>27</v>
      </c>
      <c r="O183">
        <v>0.1</v>
      </c>
      <c r="P183">
        <v>20</v>
      </c>
      <c r="Q183" t="s">
        <v>28</v>
      </c>
      <c r="R183">
        <v>0.5</v>
      </c>
      <c r="S183" t="s">
        <v>17</v>
      </c>
      <c r="V183" t="str">
        <f>HYPERLINK("c:\users\omer\rl-qecc-data\2026-07-26_13-29-41_2492036\postProcessing.png","plot")</f>
        <v>plot</v>
      </c>
      <c r="W183" t="str">
        <f>HYPERLINK("c:\users\omer\rl-qecc-data\2026-07-26_13-29-41_2492036\experiment.txt","experiment.txt")</f>
        <v>experiment.txt</v>
      </c>
    </row>
    <row r="184" spans="8:23" x14ac:dyDescent="0.3">
      <c r="H184" t="s">
        <v>263</v>
      </c>
      <c r="I184">
        <v>4684157</v>
      </c>
      <c r="J184" t="s">
        <v>24</v>
      </c>
      <c r="K184">
        <v>1</v>
      </c>
      <c r="M184" t="s">
        <v>26</v>
      </c>
      <c r="N184" t="s">
        <v>27</v>
      </c>
      <c r="O184">
        <v>0.1</v>
      </c>
      <c r="P184">
        <v>20</v>
      </c>
      <c r="Q184" t="s">
        <v>28</v>
      </c>
      <c r="R184">
        <v>0.5</v>
      </c>
      <c r="S184" t="s">
        <v>17</v>
      </c>
      <c r="V184" t="str">
        <f>HYPERLINK("c:\users\omer\rl-qecc-data\2026-07-26_13-29-41_2804477\postProcessing.png","plot")</f>
        <v>plot</v>
      </c>
      <c r="W184" t="str">
        <f>HYPERLINK("c:\users\omer\rl-qecc-data\2026-07-26_13-29-41_2804477\experiment.txt","experiment.txt")</f>
        <v>experiment.txt</v>
      </c>
    </row>
    <row r="185" spans="8:23" x14ac:dyDescent="0.3">
      <c r="H185" t="s">
        <v>264</v>
      </c>
      <c r="I185">
        <v>3256041463</v>
      </c>
      <c r="J185" t="s">
        <v>36</v>
      </c>
      <c r="K185">
        <v>1</v>
      </c>
      <c r="M185" t="s">
        <v>26</v>
      </c>
      <c r="N185" t="s">
        <v>27</v>
      </c>
      <c r="O185">
        <v>0.1</v>
      </c>
      <c r="P185">
        <v>20</v>
      </c>
      <c r="Q185" t="s">
        <v>28</v>
      </c>
      <c r="R185">
        <v>0.5</v>
      </c>
      <c r="S185" t="s">
        <v>17</v>
      </c>
      <c r="V185" t="str">
        <f>HYPERLINK("c:\users\omer\rl-qecc-data\2026-07-26_13-29-41_2804482\postProcessing.png","plot")</f>
        <v>plot</v>
      </c>
      <c r="W185" t="str">
        <f>HYPERLINK("c:\users\omer\rl-qecc-data\2026-07-26_13-29-41_2804482\experiment.txt","experiment.txt")</f>
        <v>experiment.txt</v>
      </c>
    </row>
    <row r="186" spans="8:23" x14ac:dyDescent="0.3">
      <c r="H186" t="s">
        <v>265</v>
      </c>
      <c r="I186">
        <v>564184</v>
      </c>
      <c r="J186" t="s">
        <v>51</v>
      </c>
      <c r="K186">
        <v>1</v>
      </c>
      <c r="M186" t="s">
        <v>26</v>
      </c>
      <c r="N186" t="s">
        <v>27</v>
      </c>
      <c r="O186">
        <v>0.1</v>
      </c>
      <c r="P186">
        <v>20</v>
      </c>
      <c r="Q186" t="s">
        <v>28</v>
      </c>
      <c r="R186">
        <v>0.5</v>
      </c>
      <c r="S186" t="s">
        <v>17</v>
      </c>
      <c r="V186" t="str">
        <f>HYPERLINK("c:\users\omer\rl-qecc-data\2026-07-26_13-29-41_2804511\postProcessing.png","plot")</f>
        <v>plot</v>
      </c>
      <c r="W186" t="str">
        <f>HYPERLINK("c:\users\omer\rl-qecc-data\2026-07-26_13-29-41_2804511\experiment.txt","experiment.txt")</f>
        <v>experiment.txt</v>
      </c>
    </row>
    <row r="187" spans="8:23" x14ac:dyDescent="0.3">
      <c r="H187" t="s">
        <v>266</v>
      </c>
      <c r="I187">
        <v>55376</v>
      </c>
      <c r="J187" t="s">
        <v>24</v>
      </c>
      <c r="K187">
        <v>1</v>
      </c>
      <c r="M187" t="s">
        <v>26</v>
      </c>
      <c r="N187" t="s">
        <v>27</v>
      </c>
      <c r="O187">
        <v>0.1</v>
      </c>
      <c r="P187">
        <v>20</v>
      </c>
      <c r="Q187" t="s">
        <v>28</v>
      </c>
      <c r="R187">
        <v>0.5</v>
      </c>
      <c r="S187" t="s">
        <v>17</v>
      </c>
      <c r="V187" t="str">
        <f>HYPERLINK("c:\users\omer\rl-qecc-data\2026-07-26_13-29-41_3561444\postProcessing.png","plot")</f>
        <v>plot</v>
      </c>
      <c r="W187" t="str">
        <f>HYPERLINK("c:\users\omer\rl-qecc-data\2026-07-26_13-29-41_3561444\experiment.txt","experiment.txt")</f>
        <v>experiment.txt</v>
      </c>
    </row>
    <row r="188" spans="8:23" x14ac:dyDescent="0.3">
      <c r="H188" t="s">
        <v>267</v>
      </c>
      <c r="I188">
        <v>64352663</v>
      </c>
      <c r="J188" t="s">
        <v>36</v>
      </c>
      <c r="K188">
        <v>1</v>
      </c>
      <c r="M188" t="s">
        <v>26</v>
      </c>
      <c r="N188" t="s">
        <v>27</v>
      </c>
      <c r="O188">
        <v>0.1</v>
      </c>
      <c r="P188">
        <v>20</v>
      </c>
      <c r="Q188" t="s">
        <v>28</v>
      </c>
      <c r="R188">
        <v>0.5</v>
      </c>
      <c r="S188" t="s">
        <v>17</v>
      </c>
      <c r="V188" t="str">
        <f>HYPERLINK("c:\users\omer\rl-qecc-data\2026-07-26_13-29-41_3561445\postProcessing.png","plot")</f>
        <v>plot</v>
      </c>
      <c r="W188" t="str">
        <f>HYPERLINK("c:\users\omer\rl-qecc-data\2026-07-26_13-29-41_3561445\experiment.txt","experiment.txt")</f>
        <v>experiment.txt</v>
      </c>
    </row>
    <row r="189" spans="8:23" x14ac:dyDescent="0.3">
      <c r="H189" t="s">
        <v>268</v>
      </c>
      <c r="I189">
        <v>6553</v>
      </c>
      <c r="J189" t="s">
        <v>51</v>
      </c>
      <c r="K189">
        <v>1</v>
      </c>
      <c r="M189" t="s">
        <v>26</v>
      </c>
      <c r="N189" t="s">
        <v>27</v>
      </c>
      <c r="O189">
        <v>0.1</v>
      </c>
      <c r="P189">
        <v>20</v>
      </c>
      <c r="Q189" t="s">
        <v>28</v>
      </c>
      <c r="R189">
        <v>0.5</v>
      </c>
      <c r="S189" t="s">
        <v>17</v>
      </c>
      <c r="V189" t="str">
        <f>HYPERLINK("c:\users\omer\rl-qecc-data\2026-07-26_13-29-41_3561477\postProcessing.png","plot")</f>
        <v>plot</v>
      </c>
      <c r="W189" t="str">
        <f>HYPERLINK("c:\users\omer\rl-qecc-data\2026-07-26_13-29-41_3561477\experiment.txt","experiment.txt")</f>
        <v>experiment.txt</v>
      </c>
    </row>
    <row r="190" spans="8:23" x14ac:dyDescent="0.3">
      <c r="H190" t="s">
        <v>269</v>
      </c>
      <c r="I190">
        <v>4</v>
      </c>
      <c r="J190" t="s">
        <v>36</v>
      </c>
      <c r="K190">
        <v>1</v>
      </c>
      <c r="M190" t="s">
        <v>26</v>
      </c>
      <c r="N190" t="s">
        <v>27</v>
      </c>
      <c r="O190">
        <v>0.1</v>
      </c>
      <c r="P190">
        <v>20</v>
      </c>
      <c r="Q190" t="s">
        <v>28</v>
      </c>
      <c r="R190">
        <v>0.5</v>
      </c>
      <c r="S190" t="s">
        <v>17</v>
      </c>
      <c r="V190" t="str">
        <f>HYPERLINK("c:\users\omer\rl-qecc-data\2026-07-26_13-30-13_2493425\postProcessing.png","plot")</f>
        <v>plot</v>
      </c>
      <c r="W190" t="str">
        <f>HYPERLINK("c:\users\omer\rl-qecc-data\2026-07-26_13-30-13_2493425\experiment.txt","experiment.txt")</f>
        <v>experiment.txt</v>
      </c>
    </row>
    <row r="191" spans="8:23" x14ac:dyDescent="0.3">
      <c r="H191" t="s">
        <v>270</v>
      </c>
      <c r="I191">
        <v>546564</v>
      </c>
      <c r="J191" t="s">
        <v>36</v>
      </c>
      <c r="K191">
        <v>1</v>
      </c>
      <c r="M191" t="s">
        <v>26</v>
      </c>
      <c r="N191" t="s">
        <v>27</v>
      </c>
      <c r="O191">
        <v>0.1</v>
      </c>
      <c r="P191">
        <v>20</v>
      </c>
      <c r="Q191" t="s">
        <v>28</v>
      </c>
      <c r="R191">
        <v>0.5</v>
      </c>
      <c r="S191" t="s">
        <v>17</v>
      </c>
      <c r="V191" t="str">
        <f>HYPERLINK("c:\users\omer\rl-qecc-data\2026-07-26_13-30-13_3488014\postProcessing.png","plot")</f>
        <v>plot</v>
      </c>
      <c r="W191" t="str">
        <f>HYPERLINK("c:\users\omer\rl-qecc-data\2026-07-26_13-30-13_3488014\experiment.txt","experiment.txt")</f>
        <v>experiment.txt</v>
      </c>
    </row>
    <row r="192" spans="8:23" x14ac:dyDescent="0.3">
      <c r="H192" t="s">
        <v>271</v>
      </c>
      <c r="I192">
        <v>468</v>
      </c>
      <c r="J192" t="s">
        <v>24</v>
      </c>
      <c r="K192">
        <v>1</v>
      </c>
      <c r="M192" t="s">
        <v>26</v>
      </c>
      <c r="N192" t="s">
        <v>27</v>
      </c>
      <c r="O192">
        <v>0.1</v>
      </c>
      <c r="P192">
        <v>20</v>
      </c>
      <c r="Q192" t="s">
        <v>28</v>
      </c>
      <c r="R192">
        <v>0.5</v>
      </c>
      <c r="S192" t="s">
        <v>17</v>
      </c>
      <c r="V192" t="str">
        <f>HYPERLINK("c:\users\omer\rl-qecc-data\2026-07-26_13-30-13_608744\postProcessing.png","plot")</f>
        <v>plot</v>
      </c>
      <c r="W192" t="str">
        <f>HYPERLINK("c:\users\omer\rl-qecc-data\2026-07-26_13-30-13_608744\experiment.txt","experiment.txt")</f>
        <v>experiment.txt</v>
      </c>
    </row>
    <row r="193" spans="8:23" x14ac:dyDescent="0.3">
      <c r="H193" t="s">
        <v>272</v>
      </c>
      <c r="I193">
        <v>3463475368</v>
      </c>
      <c r="J193" t="s">
        <v>36</v>
      </c>
      <c r="K193">
        <v>1</v>
      </c>
      <c r="M193" t="s">
        <v>26</v>
      </c>
      <c r="N193" t="s">
        <v>27</v>
      </c>
      <c r="O193">
        <v>0.1</v>
      </c>
      <c r="P193">
        <v>20</v>
      </c>
      <c r="Q193" t="s">
        <v>28</v>
      </c>
      <c r="R193">
        <v>0.5</v>
      </c>
      <c r="S193" t="s">
        <v>17</v>
      </c>
      <c r="V193" t="str">
        <f>HYPERLINK("c:\users\omer\rl-qecc-data\2026-07-26_13-30-31_2806171\postProcessing.png","plot")</f>
        <v>plot</v>
      </c>
      <c r="W193" t="str">
        <f>HYPERLINK("c:\users\omer\rl-qecc-data\2026-07-26_13-30-31_2806171\experiment.txt","experiment.txt")</f>
        <v>experiment.txt</v>
      </c>
    </row>
    <row r="194" spans="8:23" x14ac:dyDescent="0.3">
      <c r="H194" t="s">
        <v>273</v>
      </c>
      <c r="I194">
        <v>10100101</v>
      </c>
      <c r="J194" t="s">
        <v>36</v>
      </c>
      <c r="K194">
        <v>1</v>
      </c>
      <c r="M194" t="s">
        <v>26</v>
      </c>
      <c r="N194" t="s">
        <v>27</v>
      </c>
      <c r="O194">
        <v>0.1</v>
      </c>
      <c r="P194">
        <v>20</v>
      </c>
      <c r="Q194" t="s">
        <v>28</v>
      </c>
      <c r="R194">
        <v>0.5</v>
      </c>
      <c r="S194" t="s">
        <v>17</v>
      </c>
      <c r="V194" t="str">
        <f>HYPERLINK("c:\users\omer\rl-qecc-data\2026-07-26_13-30-31_3563137\postProcessing.png","plot")</f>
        <v>plot</v>
      </c>
      <c r="W194" t="str">
        <f>HYPERLINK("c:\users\omer\rl-qecc-data\2026-07-26_13-30-31_3563137\experiment.txt","experiment.txt")</f>
        <v>experiment.txt</v>
      </c>
    </row>
    <row r="195" spans="8:23" x14ac:dyDescent="0.3">
      <c r="H195" t="s">
        <v>274</v>
      </c>
      <c r="I195">
        <v>478</v>
      </c>
      <c r="J195" t="s">
        <v>24</v>
      </c>
      <c r="K195">
        <v>1</v>
      </c>
      <c r="M195" t="s">
        <v>26</v>
      </c>
      <c r="N195" t="s">
        <v>27</v>
      </c>
      <c r="O195">
        <v>0.1</v>
      </c>
      <c r="P195">
        <v>20</v>
      </c>
      <c r="Q195" t="s">
        <v>28</v>
      </c>
      <c r="R195">
        <v>0.5</v>
      </c>
      <c r="S195" t="s">
        <v>17</v>
      </c>
      <c r="V195" t="str">
        <f>HYPERLINK("c:\users\omer\rl-qecc-data\2026-07-26_13-30-38_2806614\postProcessing.png","plot")</f>
        <v>plot</v>
      </c>
      <c r="W195" t="str">
        <f>HYPERLINK("c:\users\omer\rl-qecc-data\2026-07-26_13-30-38_2806614\experiment.txt","experiment.txt")</f>
        <v>experiment.txt</v>
      </c>
    </row>
    <row r="196" spans="8:23" x14ac:dyDescent="0.3">
      <c r="H196" t="s">
        <v>275</v>
      </c>
      <c r="I196">
        <v>1785812914</v>
      </c>
      <c r="J196" t="s">
        <v>51</v>
      </c>
      <c r="K196">
        <v>1</v>
      </c>
      <c r="M196" t="s">
        <v>26</v>
      </c>
      <c r="N196" t="s">
        <v>27</v>
      </c>
      <c r="O196">
        <v>0.1</v>
      </c>
      <c r="P196">
        <v>20</v>
      </c>
      <c r="Q196" t="s">
        <v>28</v>
      </c>
      <c r="R196">
        <v>0.5</v>
      </c>
      <c r="S196" t="s">
        <v>17</v>
      </c>
      <c r="V196" t="str">
        <f>HYPERLINK("c:\users\omer\rl-qecc-data\2026-07-26_13-30-38_2806615\postProcessing.png","plot")</f>
        <v>plot</v>
      </c>
      <c r="W196" t="str">
        <f>HYPERLINK("c:\users\omer\rl-qecc-data\2026-07-26_13-30-38_2806615\experiment.txt","experiment.txt")</f>
        <v>experiment.txt</v>
      </c>
    </row>
    <row r="197" spans="8:23" x14ac:dyDescent="0.3">
      <c r="H197" t="s">
        <v>276</v>
      </c>
      <c r="I197">
        <v>303030</v>
      </c>
      <c r="J197" t="s">
        <v>51</v>
      </c>
      <c r="K197">
        <v>1</v>
      </c>
      <c r="M197" t="s">
        <v>26</v>
      </c>
      <c r="N197" t="s">
        <v>27</v>
      </c>
      <c r="O197">
        <v>0.1</v>
      </c>
      <c r="P197">
        <v>20</v>
      </c>
      <c r="Q197" t="s">
        <v>28</v>
      </c>
      <c r="R197">
        <v>0.5</v>
      </c>
      <c r="S197" t="s">
        <v>17</v>
      </c>
      <c r="V197" t="str">
        <f>HYPERLINK("c:\users\omer\rl-qecc-data\2026-07-26_13-30-38_3563526\postProcessing.png","plot")</f>
        <v>plot</v>
      </c>
      <c r="W197" t="str">
        <f>HYPERLINK("c:\users\omer\rl-qecc-data\2026-07-26_13-30-38_3563526\experiment.txt","experiment.txt")</f>
        <v>experiment.txt</v>
      </c>
    </row>
    <row r="198" spans="8:23" x14ac:dyDescent="0.3">
      <c r="H198" t="s">
        <v>277</v>
      </c>
      <c r="I198">
        <v>202020</v>
      </c>
      <c r="J198" t="s">
        <v>24</v>
      </c>
      <c r="K198">
        <v>1</v>
      </c>
      <c r="M198" t="s">
        <v>26</v>
      </c>
      <c r="N198" t="s">
        <v>27</v>
      </c>
      <c r="O198">
        <v>0.1</v>
      </c>
      <c r="P198">
        <v>20</v>
      </c>
      <c r="Q198" t="s">
        <v>28</v>
      </c>
      <c r="R198">
        <v>0.5</v>
      </c>
      <c r="S198" t="s">
        <v>17</v>
      </c>
      <c r="V198" t="str">
        <f>HYPERLINK("c:\users\omer\rl-qecc-data\2026-07-26_13-30-38_3563527\postProcessing.png","plot")</f>
        <v>plot</v>
      </c>
      <c r="W198" t="str">
        <f>HYPERLINK("c:\users\omer\rl-qecc-data\2026-07-26_13-30-38_3563527\experiment.txt","experiment.txt")</f>
        <v>experiment.txt</v>
      </c>
    </row>
    <row r="199" spans="8:23" x14ac:dyDescent="0.3">
      <c r="H199" t="s">
        <v>278</v>
      </c>
      <c r="I199">
        <v>5</v>
      </c>
      <c r="J199" t="s">
        <v>24</v>
      </c>
      <c r="K199">
        <v>1</v>
      </c>
      <c r="M199" t="s">
        <v>26</v>
      </c>
      <c r="N199" t="s">
        <v>27</v>
      </c>
      <c r="O199">
        <v>0.1</v>
      </c>
      <c r="P199">
        <v>20</v>
      </c>
      <c r="Q199" t="s">
        <v>28</v>
      </c>
      <c r="R199">
        <v>0.5</v>
      </c>
      <c r="S199" t="s">
        <v>17</v>
      </c>
      <c r="V199" t="str">
        <f>HYPERLINK("c:\users\omer\rl-qecc-data\2026-07-26_13-30-39_2493943\postProcessing.png","plot")</f>
        <v>plot</v>
      </c>
      <c r="W199" t="str">
        <f>HYPERLINK("c:\users\omer\rl-qecc-data\2026-07-26_13-30-39_2493943\experiment.txt","experiment.txt")</f>
        <v>experiment.txt</v>
      </c>
    </row>
    <row r="200" spans="8:23" x14ac:dyDescent="0.3">
      <c r="H200" t="s">
        <v>279</v>
      </c>
      <c r="I200">
        <v>6</v>
      </c>
      <c r="J200" t="s">
        <v>51</v>
      </c>
      <c r="K200">
        <v>1</v>
      </c>
      <c r="M200" t="s">
        <v>26</v>
      </c>
      <c r="N200" t="s">
        <v>27</v>
      </c>
      <c r="O200">
        <v>0.1</v>
      </c>
      <c r="P200">
        <v>20</v>
      </c>
      <c r="Q200" t="s">
        <v>28</v>
      </c>
      <c r="R200">
        <v>0.5</v>
      </c>
      <c r="S200" t="s">
        <v>17</v>
      </c>
      <c r="V200" t="str">
        <f>HYPERLINK("c:\users\omer\rl-qecc-data\2026-07-26_13-31-06_2494245\postProcessing.png","plot")</f>
        <v>plot</v>
      </c>
      <c r="W200" t="str">
        <f>HYPERLINK("c:\users\omer\rl-qecc-data\2026-07-26_13-31-06_2494245\experiment.txt","experiment.txt")</f>
        <v>experiment.txt</v>
      </c>
    </row>
    <row r="201" spans="8:23" x14ac:dyDescent="0.3">
      <c r="H201" t="s">
        <v>280</v>
      </c>
      <c r="I201">
        <v>34883196</v>
      </c>
      <c r="J201" t="s">
        <v>281</v>
      </c>
      <c r="K201">
        <v>1</v>
      </c>
      <c r="M201" t="s">
        <v>26</v>
      </c>
      <c r="N201" t="s">
        <v>27</v>
      </c>
      <c r="O201">
        <v>0.1</v>
      </c>
      <c r="P201">
        <v>20</v>
      </c>
      <c r="Q201" t="s">
        <v>28</v>
      </c>
      <c r="R201">
        <v>0.5</v>
      </c>
      <c r="S201" t="s">
        <v>17</v>
      </c>
      <c r="V201" t="str">
        <f>HYPERLINK("c:\users\omer\rl-qecc-data\2026-07-26_20-36-07_1077617\postProcessing.png","plot")</f>
        <v>plot</v>
      </c>
      <c r="W201" t="str">
        <f>HYPERLINK("c:\users\omer\rl-qecc-data\2026-07-26_20-36-07_1077617\experiment.txt","experiment.txt")</f>
        <v>experiment.txt</v>
      </c>
    </row>
    <row r="202" spans="8:23" x14ac:dyDescent="0.3">
      <c r="H202" t="s">
        <v>282</v>
      </c>
      <c r="I202">
        <v>34891116</v>
      </c>
      <c r="J202" t="s">
        <v>283</v>
      </c>
      <c r="K202">
        <v>1</v>
      </c>
      <c r="M202" t="s">
        <v>26</v>
      </c>
      <c r="N202" t="s">
        <v>27</v>
      </c>
      <c r="O202">
        <v>0.1</v>
      </c>
      <c r="P202">
        <v>20</v>
      </c>
      <c r="Q202" t="s">
        <v>28</v>
      </c>
      <c r="R202">
        <v>0.5</v>
      </c>
      <c r="S202" t="s">
        <v>17</v>
      </c>
      <c r="V202" t="str">
        <f>HYPERLINK("c:\users\omer\rl-qecc-data\2026-07-26_20-36-07_636968\postProcessing.png","plot")</f>
        <v>plot</v>
      </c>
      <c r="W202" t="str">
        <f>HYPERLINK("c:\users\omer\rl-qecc-data\2026-07-26_20-36-07_636968\experiment.txt","experiment.txt")</f>
        <v>experiment.txt</v>
      </c>
    </row>
    <row r="203" spans="8:23" x14ac:dyDescent="0.3">
      <c r="H203" t="s">
        <v>284</v>
      </c>
      <c r="I203">
        <v>34875279</v>
      </c>
      <c r="J203" t="s">
        <v>281</v>
      </c>
      <c r="K203">
        <v>1</v>
      </c>
      <c r="M203" t="s">
        <v>26</v>
      </c>
      <c r="N203" t="s">
        <v>27</v>
      </c>
      <c r="O203">
        <v>0.1</v>
      </c>
      <c r="P203">
        <v>20</v>
      </c>
      <c r="Q203" t="s">
        <v>28</v>
      </c>
      <c r="R203">
        <v>0.5</v>
      </c>
      <c r="S203" t="s">
        <v>17</v>
      </c>
      <c r="V203" t="str">
        <f>HYPERLINK("c:\users\omer\rl-qecc-data\2026-07-26_20-36-08_4106178\postProcessing.png","plot")</f>
        <v>plot</v>
      </c>
      <c r="W203" t="str">
        <f>HYPERLINK("c:\users\omer\rl-qecc-data\2026-07-26_20-36-08_4106178\experiment.txt","experiment.txt")</f>
        <v>experiment.txt</v>
      </c>
    </row>
    <row r="204" spans="8:23" x14ac:dyDescent="0.3">
      <c r="H204" t="s">
        <v>115</v>
      </c>
      <c r="I204">
        <v>3141592</v>
      </c>
      <c r="J204" t="s">
        <v>36</v>
      </c>
      <c r="K204">
        <v>8</v>
      </c>
      <c r="M204" t="s">
        <v>26</v>
      </c>
      <c r="N204" t="s">
        <v>27</v>
      </c>
      <c r="O204">
        <v>0.1</v>
      </c>
      <c r="P204">
        <v>10</v>
      </c>
      <c r="Q204" t="s">
        <v>28</v>
      </c>
      <c r="R204">
        <v>3.0000000000000001E-3</v>
      </c>
      <c r="S204" t="s">
        <v>17</v>
      </c>
      <c r="V204" t="str">
        <f>HYPERLINK("c:\users\omer\rl-qecc-data\2026-07-27_21-48-42_1172807\postProcessing.png","plot")</f>
        <v>plot</v>
      </c>
      <c r="W204" t="str">
        <f>HYPERLINK("c:\users\omer\rl-qecc-data\2026-07-27_21-48-42_1172807\search_9_6_seed_3141592_experiment.txt","experiment.txt")</f>
        <v>experiment.txt</v>
      </c>
    </row>
    <row r="205" spans="8:23" x14ac:dyDescent="0.3">
      <c r="H205" t="s">
        <v>116</v>
      </c>
      <c r="I205">
        <v>2718281</v>
      </c>
      <c r="J205" t="s">
        <v>36</v>
      </c>
      <c r="K205">
        <v>8</v>
      </c>
      <c r="M205" t="s">
        <v>26</v>
      </c>
      <c r="N205" t="s">
        <v>27</v>
      </c>
      <c r="O205">
        <v>0.1</v>
      </c>
      <c r="P205">
        <v>10</v>
      </c>
      <c r="Q205" t="s">
        <v>28</v>
      </c>
      <c r="R205">
        <v>3.0000000000000001E-3</v>
      </c>
      <c r="S205" t="s">
        <v>17</v>
      </c>
      <c r="V205" t="str">
        <f>HYPERLINK("c:\users\omer\rl-qecc-data\2026-07-27_21-48-42_1172833\postProcessing.png","plot")</f>
        <v>plot</v>
      </c>
      <c r="W205" t="str">
        <f>HYPERLINK("c:\users\omer\rl-qecc-data\2026-07-27_21-48-42_1172833\search_9_6_seed_2718281_experiment.txt","experiment.txt")</f>
        <v>experiment.txt</v>
      </c>
    </row>
    <row r="206" spans="8:23" x14ac:dyDescent="0.3">
      <c r="H206" t="s">
        <v>117</v>
      </c>
      <c r="I206">
        <v>1618033</v>
      </c>
      <c r="J206" t="s">
        <v>36</v>
      </c>
      <c r="K206">
        <v>8</v>
      </c>
      <c r="M206" t="s">
        <v>26</v>
      </c>
      <c r="N206" t="s">
        <v>27</v>
      </c>
      <c r="O206">
        <v>0.1</v>
      </c>
      <c r="P206">
        <v>10</v>
      </c>
      <c r="Q206" t="s">
        <v>28</v>
      </c>
      <c r="R206">
        <v>3.0000000000000001E-3</v>
      </c>
      <c r="S206" t="s">
        <v>17</v>
      </c>
      <c r="V206" t="str">
        <f>HYPERLINK("c:\users\omer\rl-qecc-data\2026-07-27_21-48-42_1172859\postProcessing.png","plot")</f>
        <v>plot</v>
      </c>
      <c r="W206" t="str">
        <f>HYPERLINK("c:\users\omer\rl-qecc-data\2026-07-27_21-48-42_1172859\search_9_6_seed_1618033_experiment.txt","experiment.txt")</f>
        <v>experiment.txt</v>
      </c>
    </row>
    <row r="207" spans="8:23" x14ac:dyDescent="0.3">
      <c r="H207" t="s">
        <v>118</v>
      </c>
      <c r="I207">
        <v>1414213</v>
      </c>
      <c r="J207" t="s">
        <v>36</v>
      </c>
      <c r="K207">
        <v>8</v>
      </c>
      <c r="M207" t="s">
        <v>26</v>
      </c>
      <c r="N207" t="s">
        <v>27</v>
      </c>
      <c r="O207">
        <v>0.1</v>
      </c>
      <c r="P207">
        <v>10</v>
      </c>
      <c r="Q207" t="s">
        <v>28</v>
      </c>
      <c r="R207">
        <v>3.0000000000000001E-3</v>
      </c>
      <c r="S207" t="s">
        <v>17</v>
      </c>
      <c r="V207" t="str">
        <f>HYPERLINK("c:\users\omer\rl-qecc-data\2026-07-27_21-48-44_1172885\postProcessing.png","plot")</f>
        <v>plot</v>
      </c>
      <c r="W207" t="str">
        <f>HYPERLINK("c:\users\omer\rl-qecc-data\2026-07-27_21-48-44_1172885\search_9_6_seed_1414213_experiment.txt","experiment.txt")</f>
        <v>experiment.txt</v>
      </c>
    </row>
    <row r="208" spans="8:23" x14ac:dyDescent="0.3">
      <c r="H208" t="s">
        <v>119</v>
      </c>
      <c r="I208">
        <v>1732050</v>
      </c>
      <c r="J208" t="s">
        <v>36</v>
      </c>
      <c r="K208">
        <v>8</v>
      </c>
      <c r="M208" t="s">
        <v>26</v>
      </c>
      <c r="N208" t="s">
        <v>27</v>
      </c>
      <c r="O208">
        <v>0.1</v>
      </c>
      <c r="P208">
        <v>10</v>
      </c>
      <c r="Q208" t="s">
        <v>28</v>
      </c>
      <c r="R208">
        <v>3.0000000000000001E-3</v>
      </c>
      <c r="S208" t="s">
        <v>17</v>
      </c>
      <c r="V208" t="str">
        <f>HYPERLINK("c:\users\omer\rl-qecc-data\2026-07-27_21-48-47_1172914\postProcessing.png","plot")</f>
        <v>plot</v>
      </c>
      <c r="W208" t="str">
        <f>HYPERLINK("c:\users\omer\rl-qecc-data\2026-07-27_21-48-47_1172914\search_9_6_seed_1732050_experiment.txt","experiment.txt")</f>
        <v>experiment.txt</v>
      </c>
    </row>
    <row r="209" spans="8:23" x14ac:dyDescent="0.3">
      <c r="H209" t="s">
        <v>120</v>
      </c>
      <c r="I209">
        <v>2236067</v>
      </c>
      <c r="J209" t="s">
        <v>36</v>
      </c>
      <c r="K209">
        <v>8</v>
      </c>
      <c r="M209" t="s">
        <v>26</v>
      </c>
      <c r="N209" t="s">
        <v>27</v>
      </c>
      <c r="O209">
        <v>0.1</v>
      </c>
      <c r="P209">
        <v>10</v>
      </c>
      <c r="Q209" t="s">
        <v>28</v>
      </c>
      <c r="R209">
        <v>3.0000000000000001E-3</v>
      </c>
      <c r="S209" t="s">
        <v>17</v>
      </c>
      <c r="V209" t="str">
        <f>HYPERLINK("c:\users\omer\rl-qecc-data\2026-07-27_21-48-51_1172941\postProcessing.png","plot")</f>
        <v>plot</v>
      </c>
      <c r="W209" t="str">
        <f>HYPERLINK("c:\users\omer\rl-qecc-data\2026-07-27_21-48-51_1172941\search_9_6_seed_2236067_experiment.txt","experiment.txt")</f>
        <v>experiment.txt</v>
      </c>
    </row>
    <row r="210" spans="8:23" x14ac:dyDescent="0.3">
      <c r="H210" t="s">
        <v>121</v>
      </c>
      <c r="I210">
        <v>2645751</v>
      </c>
      <c r="J210" t="s">
        <v>36</v>
      </c>
      <c r="K210">
        <v>8</v>
      </c>
      <c r="M210" t="s">
        <v>26</v>
      </c>
      <c r="N210" t="s">
        <v>27</v>
      </c>
      <c r="O210">
        <v>0.1</v>
      </c>
      <c r="P210">
        <v>10</v>
      </c>
      <c r="Q210" t="s">
        <v>28</v>
      </c>
      <c r="R210">
        <v>3.0000000000000001E-3</v>
      </c>
      <c r="S210" t="s">
        <v>17</v>
      </c>
      <c r="V210" t="str">
        <f>HYPERLINK("c:\users\omer\rl-qecc-data\2026-07-27_21-48-54_1173000\postProcessing.png","plot")</f>
        <v>plot</v>
      </c>
      <c r="W210" t="str">
        <f>HYPERLINK("c:\users\omer\rl-qecc-data\2026-07-27_21-48-54_1173000\search_9_6_seed_2645751_experiment.txt","experiment.txt")</f>
        <v>experiment.txt</v>
      </c>
    </row>
    <row r="211" spans="8:23" x14ac:dyDescent="0.3">
      <c r="H211" t="s">
        <v>122</v>
      </c>
      <c r="I211">
        <v>3316624</v>
      </c>
      <c r="J211" t="s">
        <v>36</v>
      </c>
      <c r="K211">
        <v>8</v>
      </c>
      <c r="M211" t="s">
        <v>26</v>
      </c>
      <c r="N211" t="s">
        <v>27</v>
      </c>
      <c r="O211">
        <v>0.1</v>
      </c>
      <c r="P211">
        <v>10</v>
      </c>
      <c r="Q211" t="s">
        <v>28</v>
      </c>
      <c r="R211">
        <v>3.0000000000000001E-3</v>
      </c>
      <c r="S211" t="s">
        <v>17</v>
      </c>
      <c r="V211" t="str">
        <f>HYPERLINK("c:\users\omer\rl-qecc-data\2026-07-27_21-48-56_1173035\postProcessing.png","plot")</f>
        <v>plot</v>
      </c>
      <c r="W211" t="str">
        <f>HYPERLINK("c:\users\omer\rl-qecc-data\2026-07-27_21-48-56_1173035\search_9_6_seed_3316624_experiment.txt","experiment.txt")</f>
        <v>experiment.txt</v>
      </c>
    </row>
    <row r="212" spans="8:23" x14ac:dyDescent="0.3">
      <c r="H212" t="s">
        <v>123</v>
      </c>
      <c r="I212">
        <v>1234567</v>
      </c>
      <c r="J212" t="s">
        <v>36</v>
      </c>
      <c r="K212">
        <v>8</v>
      </c>
      <c r="M212" t="s">
        <v>26</v>
      </c>
      <c r="N212" t="s">
        <v>27</v>
      </c>
      <c r="O212">
        <v>0.1</v>
      </c>
      <c r="P212">
        <v>10</v>
      </c>
      <c r="Q212" t="s">
        <v>28</v>
      </c>
      <c r="R212">
        <v>3.0000000000000001E-3</v>
      </c>
      <c r="S212" t="s">
        <v>17</v>
      </c>
      <c r="V212" t="str">
        <f>HYPERLINK("c:\users\omer\rl-qecc-data\2026-07-27_21-48-59_1173071\postProcessing.png","plot")</f>
        <v>plot</v>
      </c>
      <c r="W212" t="str">
        <f>HYPERLINK("c:\users\omer\rl-qecc-data\2026-07-27_21-48-59_1173071\search_9_6_seed_1234567_experiment.txt","experiment.txt")</f>
        <v>experiment.txt</v>
      </c>
    </row>
    <row r="213" spans="8:23" x14ac:dyDescent="0.3">
      <c r="H213" t="s">
        <v>124</v>
      </c>
      <c r="I213">
        <v>7654321</v>
      </c>
      <c r="J213" t="s">
        <v>36</v>
      </c>
      <c r="K213">
        <v>8</v>
      </c>
      <c r="M213" t="s">
        <v>26</v>
      </c>
      <c r="N213" t="s">
        <v>27</v>
      </c>
      <c r="O213">
        <v>0.1</v>
      </c>
      <c r="P213">
        <v>10</v>
      </c>
      <c r="Q213" t="s">
        <v>28</v>
      </c>
      <c r="R213">
        <v>3.0000000000000001E-3</v>
      </c>
      <c r="S213" t="s">
        <v>17</v>
      </c>
      <c r="V213" t="str">
        <f>HYPERLINK("c:\users\omer\rl-qecc-data\2026-07-27_21-49-02_1173109\postProcessing.png","plot")</f>
        <v>plot</v>
      </c>
      <c r="W213" t="str">
        <f>HYPERLINK("c:\users\omer\rl-qecc-data\2026-07-27_21-49-02_1173109\search_9_6_seed_7654321_experiment.txt","experiment.txt")</f>
        <v>experiment.txt</v>
      </c>
    </row>
    <row r="214" spans="8:23" x14ac:dyDescent="0.3">
      <c r="H214" t="s">
        <v>125</v>
      </c>
      <c r="I214">
        <v>9876543</v>
      </c>
      <c r="J214" t="s">
        <v>36</v>
      </c>
      <c r="K214">
        <v>8</v>
      </c>
      <c r="M214" t="s">
        <v>26</v>
      </c>
      <c r="N214" t="s">
        <v>27</v>
      </c>
      <c r="O214">
        <v>0.1</v>
      </c>
      <c r="P214">
        <v>10</v>
      </c>
      <c r="Q214" t="s">
        <v>28</v>
      </c>
      <c r="R214">
        <v>3.0000000000000001E-3</v>
      </c>
      <c r="S214" t="s">
        <v>17</v>
      </c>
      <c r="V214" t="str">
        <f>HYPERLINK("c:\users\omer\rl-qecc-data\2026-07-27_21-49-05_1173144\postProcessing.png","plot")</f>
        <v>plot</v>
      </c>
      <c r="W214" t="str">
        <f>HYPERLINK("c:\users\omer\rl-qecc-data\2026-07-27_21-49-05_1173144\search_9_6_seed_9876543_experiment.txt","experiment.txt")</f>
        <v>experiment.txt</v>
      </c>
    </row>
    <row r="215" spans="8:23" x14ac:dyDescent="0.3">
      <c r="H215" t="s">
        <v>126</v>
      </c>
      <c r="I215">
        <v>1111111</v>
      </c>
      <c r="J215" t="s">
        <v>36</v>
      </c>
      <c r="K215">
        <v>8</v>
      </c>
      <c r="M215" t="s">
        <v>26</v>
      </c>
      <c r="N215" t="s">
        <v>27</v>
      </c>
      <c r="O215">
        <v>0.1</v>
      </c>
      <c r="P215">
        <v>10</v>
      </c>
      <c r="Q215" t="s">
        <v>28</v>
      </c>
      <c r="R215">
        <v>3.0000000000000001E-3</v>
      </c>
      <c r="S215" t="s">
        <v>17</v>
      </c>
      <c r="V215" t="str">
        <f>HYPERLINK("c:\users\omer\rl-qecc-data\2026-07-27_21-49-09_1173179\postProcessing.png","plot")</f>
        <v>plot</v>
      </c>
      <c r="W215" t="str">
        <f>HYPERLINK("c:\users\omer\rl-qecc-data\2026-07-27_21-49-09_1173179\search_9_6_seed_1111111_experiment.txt","experiment.txt")</f>
        <v>experiment.txt</v>
      </c>
    </row>
    <row r="216" spans="8:23" x14ac:dyDescent="0.3">
      <c r="H216" t="s">
        <v>127</v>
      </c>
      <c r="I216">
        <v>3141592</v>
      </c>
      <c r="J216" t="s">
        <v>36</v>
      </c>
      <c r="K216">
        <v>8</v>
      </c>
      <c r="M216" t="s">
        <v>26</v>
      </c>
      <c r="N216" t="s">
        <v>27</v>
      </c>
      <c r="O216">
        <v>0.1</v>
      </c>
      <c r="P216">
        <v>10</v>
      </c>
      <c r="Q216" t="s">
        <v>42</v>
      </c>
      <c r="R216">
        <v>3.0000000000000001E-3</v>
      </c>
      <c r="S216" t="s">
        <v>17</v>
      </c>
      <c r="V216" t="str">
        <f>HYPERLINK("c:\users\omer\rl-qecc-data\2026-07-27_21-50-10_734813\postProcessing.png","plot")</f>
        <v>plot</v>
      </c>
      <c r="W216" t="str">
        <f>HYPERLINK("c:\users\omer\rl-qecc-data\2026-07-27_21-50-10_734813\search_9_6_seed_3141592_experiment.txt","experiment.txt")</f>
        <v>experiment.txt</v>
      </c>
    </row>
    <row r="217" spans="8:23" x14ac:dyDescent="0.3">
      <c r="H217" t="s">
        <v>128</v>
      </c>
      <c r="I217">
        <v>2718281</v>
      </c>
      <c r="J217" t="s">
        <v>36</v>
      </c>
      <c r="K217">
        <v>8</v>
      </c>
      <c r="M217" t="s">
        <v>26</v>
      </c>
      <c r="N217" t="s">
        <v>27</v>
      </c>
      <c r="O217">
        <v>0.1</v>
      </c>
      <c r="P217">
        <v>10</v>
      </c>
      <c r="Q217" t="s">
        <v>42</v>
      </c>
      <c r="R217">
        <v>3.0000000000000001E-3</v>
      </c>
      <c r="S217" t="s">
        <v>17</v>
      </c>
      <c r="V217" t="str">
        <f>HYPERLINK("c:\users\omer\rl-qecc-data\2026-07-27_21-50-10_734850\postProcessing.png","plot")</f>
        <v>plot</v>
      </c>
      <c r="W217" t="str">
        <f>HYPERLINK("c:\users\omer\rl-qecc-data\2026-07-27_21-50-10_734850\search_9_6_seed_2718281_experiment.txt","experiment.txt")</f>
        <v>experiment.txt</v>
      </c>
    </row>
    <row r="218" spans="8:23" x14ac:dyDescent="0.3">
      <c r="H218" t="s">
        <v>129</v>
      </c>
      <c r="I218">
        <v>1618033</v>
      </c>
      <c r="J218" t="s">
        <v>36</v>
      </c>
      <c r="K218">
        <v>8</v>
      </c>
      <c r="M218" t="s">
        <v>26</v>
      </c>
      <c r="N218" t="s">
        <v>27</v>
      </c>
      <c r="O218">
        <v>0.1</v>
      </c>
      <c r="P218">
        <v>10</v>
      </c>
      <c r="Q218" t="s">
        <v>42</v>
      </c>
      <c r="R218">
        <v>3.0000000000000001E-3</v>
      </c>
      <c r="S218" t="s">
        <v>17</v>
      </c>
      <c r="V218" t="str">
        <f>HYPERLINK("c:\users\omer\rl-qecc-data\2026-07-27_21-50-10_734883\postProcessing.png","plot")</f>
        <v>plot</v>
      </c>
      <c r="W218" t="str">
        <f>HYPERLINK("c:\users\omer\rl-qecc-data\2026-07-27_21-50-10_734883\search_9_6_seed_1618033_experiment.txt","experiment.txt")</f>
        <v>experiment.txt</v>
      </c>
    </row>
    <row r="219" spans="8:23" x14ac:dyDescent="0.3">
      <c r="H219" t="s">
        <v>130</v>
      </c>
      <c r="I219">
        <v>1414213</v>
      </c>
      <c r="J219" t="s">
        <v>36</v>
      </c>
      <c r="K219">
        <v>8</v>
      </c>
      <c r="M219" t="s">
        <v>26</v>
      </c>
      <c r="N219" t="s">
        <v>27</v>
      </c>
      <c r="O219">
        <v>0.1</v>
      </c>
      <c r="P219">
        <v>10</v>
      </c>
      <c r="Q219" t="s">
        <v>42</v>
      </c>
      <c r="R219">
        <v>3.0000000000000001E-3</v>
      </c>
      <c r="S219" t="s">
        <v>17</v>
      </c>
      <c r="V219" t="str">
        <f>HYPERLINK("c:\users\omer\rl-qecc-data\2026-07-27_21-50-13_734914\postProcessing.png","plot")</f>
        <v>plot</v>
      </c>
      <c r="W219" t="str">
        <f>HYPERLINK("c:\users\omer\rl-qecc-data\2026-07-27_21-50-13_734914\search_9_6_seed_1414213_experiment.txt","experiment.txt")</f>
        <v>experiment.txt</v>
      </c>
    </row>
    <row r="220" spans="8:23" x14ac:dyDescent="0.3">
      <c r="H220" t="s">
        <v>131</v>
      </c>
      <c r="I220">
        <v>1732050</v>
      </c>
      <c r="J220" t="s">
        <v>36</v>
      </c>
      <c r="K220">
        <v>8</v>
      </c>
      <c r="M220" t="s">
        <v>26</v>
      </c>
      <c r="N220" t="s">
        <v>27</v>
      </c>
      <c r="O220">
        <v>0.1</v>
      </c>
      <c r="P220">
        <v>10</v>
      </c>
      <c r="Q220" t="s">
        <v>42</v>
      </c>
      <c r="R220">
        <v>3.0000000000000001E-3</v>
      </c>
      <c r="S220" t="s">
        <v>17</v>
      </c>
      <c r="V220" t="str">
        <f>HYPERLINK("c:\users\omer\rl-qecc-data\2026-07-27_21-50-16_734943\postProcessing.png","plot")</f>
        <v>plot</v>
      </c>
      <c r="W220" t="str">
        <f>HYPERLINK("c:\users\omer\rl-qecc-data\2026-07-27_21-50-16_734943\search_9_6_seed_1732050_experiment.txt","experiment.txt")</f>
        <v>experiment.txt</v>
      </c>
    </row>
    <row r="221" spans="8:23" x14ac:dyDescent="0.3">
      <c r="H221" t="s">
        <v>132</v>
      </c>
      <c r="I221">
        <v>2236067</v>
      </c>
      <c r="J221" t="s">
        <v>36</v>
      </c>
      <c r="K221">
        <v>8</v>
      </c>
      <c r="M221" t="s">
        <v>26</v>
      </c>
      <c r="N221" t="s">
        <v>27</v>
      </c>
      <c r="O221">
        <v>0.1</v>
      </c>
      <c r="P221">
        <v>10</v>
      </c>
      <c r="Q221" t="s">
        <v>42</v>
      </c>
      <c r="R221">
        <v>3.0000000000000001E-3</v>
      </c>
      <c r="S221" t="s">
        <v>17</v>
      </c>
      <c r="V221" t="str">
        <f>HYPERLINK("c:\users\omer\rl-qecc-data\2026-07-27_21-50-20_734978\postProcessing.png","plot")</f>
        <v>plot</v>
      </c>
      <c r="W221" t="str">
        <f>HYPERLINK("c:\users\omer\rl-qecc-data\2026-07-27_21-50-20_734978\search_9_6_seed_2236067_experiment.txt","experiment.txt")</f>
        <v>experiment.txt</v>
      </c>
    </row>
    <row r="222" spans="8:23" x14ac:dyDescent="0.3">
      <c r="H222" t="s">
        <v>133</v>
      </c>
      <c r="I222">
        <v>2645751</v>
      </c>
      <c r="J222" t="s">
        <v>36</v>
      </c>
      <c r="K222">
        <v>8</v>
      </c>
      <c r="M222" t="s">
        <v>26</v>
      </c>
      <c r="N222" t="s">
        <v>27</v>
      </c>
      <c r="O222">
        <v>0.1</v>
      </c>
      <c r="P222">
        <v>10</v>
      </c>
      <c r="Q222" t="s">
        <v>42</v>
      </c>
      <c r="R222">
        <v>3.0000000000000001E-3</v>
      </c>
      <c r="S222" t="s">
        <v>17</v>
      </c>
      <c r="V222" t="str">
        <f>HYPERLINK("c:\users\omer\rl-qecc-data\2026-07-27_21-50-23_735045\postProcessing.png","plot")</f>
        <v>plot</v>
      </c>
      <c r="W222" t="str">
        <f>HYPERLINK("c:\users\omer\rl-qecc-data\2026-07-27_21-50-23_735045\search_9_6_seed_2645751_experiment.txt","experiment.txt")</f>
        <v>experiment.txt</v>
      </c>
    </row>
    <row r="223" spans="8:23" x14ac:dyDescent="0.3">
      <c r="H223" t="s">
        <v>134</v>
      </c>
      <c r="I223">
        <v>3316624</v>
      </c>
      <c r="J223" t="s">
        <v>36</v>
      </c>
      <c r="K223">
        <v>8</v>
      </c>
      <c r="M223" t="s">
        <v>26</v>
      </c>
      <c r="N223" t="s">
        <v>27</v>
      </c>
      <c r="O223">
        <v>0.1</v>
      </c>
      <c r="P223">
        <v>10</v>
      </c>
      <c r="Q223" t="s">
        <v>42</v>
      </c>
      <c r="R223">
        <v>3.0000000000000001E-3</v>
      </c>
      <c r="S223" t="s">
        <v>17</v>
      </c>
      <c r="V223" t="str">
        <f>HYPERLINK("c:\users\omer\rl-qecc-data\2026-07-27_21-50-26_735091\postProcessing.png","plot")</f>
        <v>plot</v>
      </c>
      <c r="W223" t="str">
        <f>HYPERLINK("c:\users\omer\rl-qecc-data\2026-07-27_21-50-26_735091\search_9_6_seed_3316624_experiment.txt","experiment.txt")</f>
        <v>experiment.txt</v>
      </c>
    </row>
    <row r="224" spans="8:23" x14ac:dyDescent="0.3">
      <c r="H224" t="s">
        <v>135</v>
      </c>
      <c r="I224">
        <v>1234567</v>
      </c>
      <c r="J224" t="s">
        <v>36</v>
      </c>
      <c r="K224">
        <v>8</v>
      </c>
      <c r="M224" t="s">
        <v>26</v>
      </c>
      <c r="N224" t="s">
        <v>27</v>
      </c>
      <c r="O224">
        <v>0.1</v>
      </c>
      <c r="P224">
        <v>10</v>
      </c>
      <c r="Q224" t="s">
        <v>42</v>
      </c>
      <c r="R224">
        <v>3.0000000000000001E-3</v>
      </c>
      <c r="S224" t="s">
        <v>17</v>
      </c>
      <c r="V224" t="str">
        <f>HYPERLINK("c:\users\omer\rl-qecc-data\2026-07-27_21-50-28_735131\postProcessing.png","plot")</f>
        <v>plot</v>
      </c>
      <c r="W224" t="str">
        <f>HYPERLINK("c:\users\omer\rl-qecc-data\2026-07-27_21-50-28_735131\search_9_6_seed_1234567_experiment.txt","experiment.txt")</f>
        <v>experiment.txt</v>
      </c>
    </row>
    <row r="225" spans="8:23" x14ac:dyDescent="0.3">
      <c r="H225" t="s">
        <v>136</v>
      </c>
      <c r="I225">
        <v>7654321</v>
      </c>
      <c r="J225" t="s">
        <v>36</v>
      </c>
      <c r="K225">
        <v>8</v>
      </c>
      <c r="M225" t="s">
        <v>26</v>
      </c>
      <c r="N225" t="s">
        <v>27</v>
      </c>
      <c r="O225">
        <v>0.1</v>
      </c>
      <c r="P225">
        <v>10</v>
      </c>
      <c r="Q225" t="s">
        <v>42</v>
      </c>
      <c r="R225">
        <v>3.0000000000000001E-3</v>
      </c>
      <c r="S225" t="s">
        <v>17</v>
      </c>
      <c r="V225" t="str">
        <f>HYPERLINK("c:\users\omer\rl-qecc-data\2026-07-27_21-50-32_735172\postProcessing.png","plot")</f>
        <v>plot</v>
      </c>
      <c r="W225" t="str">
        <f>HYPERLINK("c:\users\omer\rl-qecc-data\2026-07-27_21-50-32_735172\search_9_6_seed_7654321_experiment.txt","experiment.txt")</f>
        <v>experiment.txt</v>
      </c>
    </row>
    <row r="226" spans="8:23" x14ac:dyDescent="0.3">
      <c r="H226" t="s">
        <v>137</v>
      </c>
      <c r="I226">
        <v>9876543</v>
      </c>
      <c r="J226" t="s">
        <v>36</v>
      </c>
      <c r="K226">
        <v>8</v>
      </c>
      <c r="M226" t="s">
        <v>26</v>
      </c>
      <c r="N226" t="s">
        <v>27</v>
      </c>
      <c r="O226">
        <v>0.1</v>
      </c>
      <c r="P226">
        <v>10</v>
      </c>
      <c r="Q226" t="s">
        <v>42</v>
      </c>
      <c r="R226">
        <v>3.0000000000000001E-3</v>
      </c>
      <c r="S226" t="s">
        <v>17</v>
      </c>
      <c r="V226" t="str">
        <f>HYPERLINK("c:\users\omer\rl-qecc-data\2026-07-27_21-50-34_735210\postProcessing.png","plot")</f>
        <v>plot</v>
      </c>
      <c r="W226" t="str">
        <f>HYPERLINK("c:\users\omer\rl-qecc-data\2026-07-27_21-50-34_735210\search_9_6_seed_9876543_experiment.txt","experiment.txt")</f>
        <v>experiment.txt</v>
      </c>
    </row>
    <row r="227" spans="8:23" x14ac:dyDescent="0.3">
      <c r="H227" t="s">
        <v>138</v>
      </c>
      <c r="I227">
        <v>2002</v>
      </c>
      <c r="J227" t="s">
        <v>22</v>
      </c>
      <c r="K227">
        <v>12</v>
      </c>
      <c r="M227" t="s">
        <v>26</v>
      </c>
      <c r="N227" t="s">
        <v>27</v>
      </c>
      <c r="O227">
        <v>0.1</v>
      </c>
      <c r="P227">
        <v>500</v>
      </c>
      <c r="Q227" t="s">
        <v>42</v>
      </c>
      <c r="R227">
        <v>3.0000000000000001E-3</v>
      </c>
      <c r="S227" t="s">
        <v>17</v>
      </c>
      <c r="V227" t="str">
        <f>HYPERLINK("c:\users\omer\rl-qecc-data\truncated_matrixA\2026-07-23_16-39-33_352442\postProcessing.png","plot")</f>
        <v>plot</v>
      </c>
      <c r="W227" t="str">
        <f>HYPERLINK("c:\users\omer\rl-qecc-data\truncated_matrixA\2026-07-23_16-39-33_352442\experiment.txt","experiment.txt")</f>
        <v>experiment.txt</v>
      </c>
    </row>
    <row r="228" spans="8:23" x14ac:dyDescent="0.3">
      <c r="H228" t="s">
        <v>139</v>
      </c>
      <c r="I228">
        <v>3003</v>
      </c>
      <c r="J228" t="s">
        <v>22</v>
      </c>
      <c r="K228">
        <v>12</v>
      </c>
      <c r="M228" t="s">
        <v>26</v>
      </c>
      <c r="N228" t="s">
        <v>27</v>
      </c>
      <c r="O228">
        <v>0.1</v>
      </c>
      <c r="P228">
        <v>500</v>
      </c>
      <c r="Q228" t="s">
        <v>42</v>
      </c>
      <c r="R228">
        <v>3.0000000000000001E-3</v>
      </c>
      <c r="S228" t="s">
        <v>17</v>
      </c>
      <c r="V228" t="str">
        <f>HYPERLINK("c:\users\omer\rl-qecc-data\truncated_matrixA\2026-07-23_17-04-44_790643\postProcessing.png","plot")</f>
        <v>plot</v>
      </c>
      <c r="W228" t="str">
        <f>HYPERLINK("c:\users\omer\rl-qecc-data\truncated_matrixA\2026-07-23_17-04-44_790643\experiment.txt","experiment.txt")</f>
        <v>experiment.txt</v>
      </c>
    </row>
    <row r="229" spans="8:23" x14ac:dyDescent="0.3">
      <c r="H229" t="s">
        <v>140</v>
      </c>
      <c r="I229">
        <v>4004</v>
      </c>
      <c r="J229" t="s">
        <v>22</v>
      </c>
      <c r="K229">
        <v>12</v>
      </c>
      <c r="M229" t="s">
        <v>26</v>
      </c>
      <c r="N229" t="s">
        <v>27</v>
      </c>
      <c r="O229">
        <v>0.1</v>
      </c>
      <c r="P229">
        <v>500</v>
      </c>
      <c r="Q229" t="s">
        <v>42</v>
      </c>
      <c r="R229">
        <v>3.0000000000000001E-3</v>
      </c>
      <c r="S229" t="s">
        <v>17</v>
      </c>
      <c r="V229" t="str">
        <f>HYPERLINK("c:\users\omer\rl-qecc-data\truncated_matrixA\2026-07-23_17-06-26_355068\postProcessing.png","plot")</f>
        <v>plot</v>
      </c>
      <c r="W229" t="str">
        <f>HYPERLINK("c:\users\omer\rl-qecc-data\truncated_matrixA\2026-07-23_17-06-26_355068\experiment.txt","experiment.txt")</f>
        <v>experiment.txt</v>
      </c>
    </row>
    <row r="230" spans="8:23" x14ac:dyDescent="0.3">
      <c r="H230" t="s">
        <v>141</v>
      </c>
      <c r="I230">
        <v>5005</v>
      </c>
      <c r="J230" t="s">
        <v>22</v>
      </c>
      <c r="K230">
        <v>12</v>
      </c>
      <c r="M230" t="s">
        <v>26</v>
      </c>
      <c r="N230" t="s">
        <v>27</v>
      </c>
      <c r="O230">
        <v>0.1</v>
      </c>
      <c r="P230">
        <v>500</v>
      </c>
      <c r="Q230" t="s">
        <v>42</v>
      </c>
      <c r="R230">
        <v>3.0000000000000001E-3</v>
      </c>
      <c r="S230" t="s">
        <v>17</v>
      </c>
      <c r="V230" t="str">
        <f>HYPERLINK("c:\users\omer\rl-qecc-data\truncated_matrixA\2026-07-23_17-26-23_3831930\postProcessing.png","plot")</f>
        <v>plot</v>
      </c>
      <c r="W230" t="str">
        <f>HYPERLINK("c:\users\omer\rl-qecc-data\truncated_matrixA\2026-07-23_17-26-23_3831930\experiment.txt","experiment.txt")</f>
        <v>experiment.txt</v>
      </c>
    </row>
    <row r="231" spans="8:23" x14ac:dyDescent="0.3">
      <c r="H231" t="s">
        <v>142</v>
      </c>
      <c r="I231">
        <v>6006</v>
      </c>
      <c r="J231" t="s">
        <v>22</v>
      </c>
      <c r="K231">
        <v>12</v>
      </c>
      <c r="M231" t="s">
        <v>26</v>
      </c>
      <c r="N231" t="s">
        <v>27</v>
      </c>
      <c r="O231">
        <v>0.1</v>
      </c>
      <c r="P231">
        <v>500</v>
      </c>
      <c r="Q231" t="s">
        <v>42</v>
      </c>
      <c r="R231">
        <v>3.0000000000000001E-3</v>
      </c>
      <c r="S231" t="s">
        <v>17</v>
      </c>
      <c r="V231" t="str">
        <f>HYPERLINK("c:\users\omer\rl-qecc-data\truncated_matrixA\2026-07-23_17-30-12_792942\postProcessing.png","plot")</f>
        <v>plot</v>
      </c>
      <c r="W231" t="str">
        <f>HYPERLINK("c:\users\omer\rl-qecc-data\truncated_matrixA\2026-07-23_17-30-12_792942\experiment.txt","experiment.txt")</f>
        <v>experiment.txt</v>
      </c>
    </row>
    <row r="232" spans="8:23" x14ac:dyDescent="0.3">
      <c r="H232" t="s">
        <v>143</v>
      </c>
      <c r="I232">
        <v>1001</v>
      </c>
      <c r="J232" t="s">
        <v>22</v>
      </c>
      <c r="K232">
        <v>12</v>
      </c>
      <c r="M232" t="s">
        <v>26</v>
      </c>
      <c r="N232" t="s">
        <v>27</v>
      </c>
      <c r="O232">
        <v>0.1</v>
      </c>
      <c r="P232">
        <v>0</v>
      </c>
      <c r="Q232" t="s">
        <v>42</v>
      </c>
      <c r="R232">
        <v>3.0000000000000001E-3</v>
      </c>
      <c r="S232" t="s">
        <v>17</v>
      </c>
      <c r="V232" t="str">
        <f>HYPERLINK("c:\users\omer\rl-qecc-data\truncated_matrixA\2026-07-23_17-38-01_3833038\postProcessing.png","plot")</f>
        <v>plot</v>
      </c>
      <c r="W232" t="str">
        <f>HYPERLINK("c:\users\omer\rl-qecc-data\truncated_matrixA\2026-07-23_17-38-01_3833038\experiment.txt","experiment.txt")</f>
        <v>experiment.txt</v>
      </c>
    </row>
    <row r="233" spans="8:23" x14ac:dyDescent="0.3">
      <c r="H233" t="s">
        <v>144</v>
      </c>
      <c r="I233">
        <v>2002</v>
      </c>
      <c r="J233" t="s">
        <v>22</v>
      </c>
      <c r="K233">
        <v>12</v>
      </c>
      <c r="M233" t="s">
        <v>26</v>
      </c>
      <c r="N233" t="s">
        <v>27</v>
      </c>
      <c r="O233">
        <v>0.1</v>
      </c>
      <c r="P233">
        <v>0</v>
      </c>
      <c r="Q233" t="s">
        <v>42</v>
      </c>
      <c r="R233">
        <v>3.0000000000000001E-3</v>
      </c>
      <c r="S233" t="s">
        <v>17</v>
      </c>
      <c r="V233" t="str">
        <f>HYPERLINK("c:\users\omer\rl-qecc-data\truncated_matrixA\2026-07-23_18-06-16_3835747\postProcessing.png","plot")</f>
        <v>plot</v>
      </c>
      <c r="W233" t="str">
        <f>HYPERLINK("c:\users\omer\rl-qecc-data\truncated_matrixA\2026-07-23_18-06-16_3835747\experiment.txt","experiment.txt")</f>
        <v>experiment.txt</v>
      </c>
    </row>
    <row r="234" spans="8:23" x14ac:dyDescent="0.3">
      <c r="H234" t="s">
        <v>145</v>
      </c>
      <c r="I234">
        <v>3003</v>
      </c>
      <c r="J234" t="s">
        <v>22</v>
      </c>
      <c r="K234">
        <v>12</v>
      </c>
      <c r="M234" t="s">
        <v>26</v>
      </c>
      <c r="N234" t="s">
        <v>27</v>
      </c>
      <c r="O234">
        <v>0.1</v>
      </c>
      <c r="P234">
        <v>0</v>
      </c>
      <c r="Q234" t="s">
        <v>42</v>
      </c>
      <c r="R234">
        <v>3.0000000000000001E-3</v>
      </c>
      <c r="S234" t="s">
        <v>17</v>
      </c>
      <c r="V234" t="str">
        <f>HYPERLINK("c:\users\omer\rl-qecc-data\truncated_matrixA\2026-07-23_22-38-48_814037\postProcessing.png","plot")</f>
        <v>plot</v>
      </c>
      <c r="W234" t="str">
        <f>HYPERLINK("c:\users\omer\rl-qecc-data\truncated_matrixA\2026-07-23_22-38-48_814037\experiment.txt","experiment.txt")</f>
        <v>experiment.txt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Investigation into encoder arch</vt:lpstr>
      <vt:lpstr>allData</vt:lpstr>
      <vt:lpstr>oldData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Sella</dc:creator>
  <cp:lastModifiedBy>Omer Sella</cp:lastModifiedBy>
  <dcterms:created xsi:type="dcterms:W3CDTF">2026-07-14T21:04:19Z</dcterms:created>
  <dcterms:modified xsi:type="dcterms:W3CDTF">2026-07-30T08:44:20Z</dcterms:modified>
</cp:coreProperties>
</file>