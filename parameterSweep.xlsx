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59" yWindow="759" windowWidth="24376" windowHeight="13301" tabRatio="600" firstSheet="0" activeTab="1" autoFilterDateGrouping="1"/>
  </bookViews>
  <sheets>
    <sheet name="Investigation into encoder arch" sheetId="1" state="visible" r:id="rId1"/>
    <sheet name="allData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6"/>
      <scheme val="minor"/>
    </font>
    <font>
      <name val="Aptos"/>
      <family val="2"/>
      <color theme="1"/>
      <sz val="16"/>
    </font>
  </fonts>
  <fills count="6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vertical="center" wrapText="1"/>
    </xf>
    <xf numFmtId="0" fontId="2" fillId="0" borderId="2" applyAlignment="1" pivotButton="0" quotePrefix="0" xfId="0">
      <alignment vertical="center" wrapText="1"/>
    </xf>
    <xf numFmtId="0" fontId="2" fillId="0" borderId="5" applyAlignment="1" pivotButton="0" quotePrefix="0" xfId="0">
      <alignment vertical="center" wrapText="1"/>
    </xf>
    <xf numFmtId="0" fontId="2" fillId="0" borderId="3" applyAlignment="1" pivotButton="0" quotePrefix="0" xfId="0">
      <alignment vertical="center" wrapText="1"/>
    </xf>
    <xf numFmtId="0" fontId="2" fillId="0" borderId="4" applyAlignment="1" pivotButton="0" quotePrefix="0" xfId="0">
      <alignment vertical="center" wrapText="1"/>
    </xf>
    <xf numFmtId="0" fontId="2" fillId="2" borderId="4" applyAlignment="1" pivotButton="0" quotePrefix="0" xfId="0">
      <alignment vertical="center" wrapText="1"/>
    </xf>
    <xf numFmtId="0" fontId="2" fillId="2" borderId="3" applyAlignment="1" pivotButton="0" quotePrefix="0" xfId="0">
      <alignment vertical="center" wrapText="1"/>
    </xf>
    <xf numFmtId="0" fontId="1" fillId="2" borderId="0" pivotButton="0" quotePrefix="0" xfId="0"/>
    <xf numFmtId="0" fontId="1" fillId="3" borderId="0" pivotButton="0" quotePrefix="0" xfId="0"/>
    <xf numFmtId="0" fontId="2" fillId="3" borderId="3" applyAlignment="1" pivotButton="0" quotePrefix="0" xfId="0">
      <alignment vertical="center" wrapText="1"/>
    </xf>
    <xf numFmtId="0" fontId="2" fillId="3" borderId="4" applyAlignment="1" pivotButton="0" quotePrefix="0" xfId="0">
      <alignment vertical="center" wrapText="1"/>
    </xf>
    <xf numFmtId="0" fontId="1" fillId="4" borderId="0" pivotButton="0" quotePrefix="0" xfId="0"/>
    <xf numFmtId="0" fontId="2" fillId="4" borderId="3" applyAlignment="1" pivotButton="0" quotePrefix="0" xfId="0">
      <alignment vertical="center" wrapText="1"/>
    </xf>
    <xf numFmtId="0" fontId="2" fillId="4" borderId="4" applyAlignment="1" pivotButton="0" quotePrefix="0" xfId="0">
      <alignment vertical="center" wrapText="1"/>
    </xf>
    <xf numFmtId="0" fontId="2" fillId="5" borderId="4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H1:W28"/>
  <sheetViews>
    <sheetView topLeftCell="L1" zoomScale="70" zoomScaleNormal="70" workbookViewId="0">
      <selection activeCell="H1" sqref="H1:U1"/>
    </sheetView>
  </sheetViews>
  <sheetFormatPr baseColWidth="8" defaultRowHeight="20.95"/>
  <cols>
    <col width="8.88671875" customWidth="1" style="1" min="1" max="6"/>
    <col width="5.5546875" customWidth="1" style="1" min="7" max="7"/>
    <col width="85.21875" customWidth="1" style="1" min="8" max="8"/>
    <col width="9.88671875" bestFit="1" customWidth="1" style="1" min="9" max="9"/>
    <col width="8.88671875" customWidth="1" style="1" min="10" max="10"/>
    <col width="31.21875" customWidth="1" style="1" min="11" max="11"/>
    <col width="32.44140625" customWidth="1" style="1" min="12" max="12"/>
    <col width="32.77734375" customWidth="1" style="1" min="13" max="15"/>
    <col width="29.6640625" customWidth="1" style="1" min="16" max="16"/>
    <col width="28.77734375" customWidth="1" style="1" min="17" max="17"/>
    <col width="24.77734375" customWidth="1" style="1" min="18" max="18"/>
    <col width="23.109375" customWidth="1" style="1" min="19" max="19"/>
    <col width="27.21875" customWidth="1" style="1" min="20" max="20"/>
    <col width="17.33203125" customWidth="1" style="1" min="21" max="21"/>
    <col width="30.109375" bestFit="1" customWidth="1" style="1" min="22" max="22"/>
    <col width="19.44140625" bestFit="1" customWidth="1" style="1" min="23" max="23"/>
    <col width="8.88671875" customWidth="1" style="1" min="24" max="24"/>
    <col width="8.88671875" customWidth="1" style="1" min="25" max="16384"/>
  </cols>
  <sheetData>
    <row r="1" ht="42.55" customHeight="1" thickBot="1">
      <c r="H1" s="1" t="inlineStr">
        <is>
          <t>Job name / folder name</t>
        </is>
      </c>
      <c r="I1" s="2" t="inlineStr">
        <is>
          <t>Seed</t>
        </is>
      </c>
      <c r="J1" s="3" t="inlineStr">
        <is>
          <t>Code</t>
        </is>
      </c>
      <c r="K1" s="3" t="inlineStr">
        <is>
          <t>Number of qubits</t>
        </is>
      </c>
      <c r="L1" s="3" t="n"/>
      <c r="M1" s="3" t="inlineStr">
        <is>
          <t>Network architecture</t>
        </is>
      </c>
      <c r="N1" s="3" t="inlineStr">
        <is>
          <t>Use pretrained encoder</t>
        </is>
      </c>
      <c r="O1" s="3" t="inlineStr">
        <is>
          <t>Encoder lr factor</t>
        </is>
      </c>
      <c r="P1" s="3" t="inlineStr">
        <is>
          <t>Freeze until ?</t>
        </is>
      </c>
      <c r="Q1" s="3" t="inlineStr">
        <is>
          <t>Encoder</t>
        </is>
      </c>
      <c r="R1" s="3" t="inlineStr">
        <is>
          <t>Entropy eps</t>
        </is>
      </c>
      <c r="S1" s="3" t="inlineStr">
        <is>
          <t>Running / processed</t>
        </is>
      </c>
      <c r="T1" s="3" t="inlineStr">
        <is>
          <t>Is good ?</t>
        </is>
      </c>
      <c r="U1" s="4" t="inlineStr">
        <is>
          <t>Comments</t>
        </is>
      </c>
      <c r="V1" t="inlineStr">
        <is>
          <t>Plot</t>
        </is>
      </c>
      <c r="W1" t="inlineStr">
        <is>
          <t>Data</t>
        </is>
      </c>
    </row>
    <row r="2" ht="42.55" customHeight="1" thickBot="1">
      <c r="H2" s="9" t="inlineStr">
        <is>
          <t>C:\Users\Omer\rl-qecc-data\2026-07-15_06-24-42</t>
        </is>
      </c>
      <c r="I2" s="8" t="n">
        <v>460101</v>
      </c>
      <c r="J2" s="7" t="inlineStr">
        <is>
          <t>9,6</t>
        </is>
      </c>
      <c r="K2" s="7" t="n">
        <v>8</v>
      </c>
      <c r="L2" s="7" t="n"/>
      <c r="M2" s="7" t="inlineStr">
        <is>
          <t>Hybrid</t>
        </is>
      </c>
      <c r="N2" s="7" t="n"/>
      <c r="O2" s="7" t="n"/>
      <c r="P2" s="7" t="n"/>
      <c r="Q2" s="7" t="inlineStr">
        <is>
          <t>2026-07-12_20-18-32/surrogate_6x6.pth</t>
        </is>
      </c>
      <c r="R2" s="7" t="n">
        <v>0.003</v>
      </c>
      <c r="S2" s="7" t="inlineStr">
        <is>
          <t>Done</t>
        </is>
      </c>
      <c r="T2" s="7" t="inlineStr">
        <is>
          <t>Yes</t>
        </is>
      </c>
    </row>
    <row r="3" ht="42.55" customHeight="1" thickBot="1">
      <c r="H3" s="9" t="inlineStr">
        <is>
          <t>C:\Users\Omer\rl-qecc-data\2026-07-14_22-01-03</t>
        </is>
      </c>
      <c r="I3" s="8" t="n">
        <v>232323</v>
      </c>
      <c r="J3" s="7" t="inlineStr">
        <is>
          <t>9,6</t>
        </is>
      </c>
      <c r="K3" s="7" t="n">
        <v>8</v>
      </c>
      <c r="L3" s="7" t="n"/>
      <c r="M3" s="7" t="inlineStr">
        <is>
          <t>hybrid</t>
        </is>
      </c>
      <c r="N3" s="7" t="n"/>
      <c r="O3" s="7" t="n"/>
      <c r="P3" s="7" t="n"/>
      <c r="Q3" s="7" t="inlineStr">
        <is>
          <t>2026-07-12_20-18-32/surrogate_6x6.pth</t>
        </is>
      </c>
      <c r="R3" s="7" t="n">
        <v>0.003</v>
      </c>
      <c r="S3" s="7" t="inlineStr">
        <is>
          <t>Done</t>
        </is>
      </c>
      <c r="T3" s="7" t="inlineStr">
        <is>
          <t>Yes</t>
        </is>
      </c>
    </row>
    <row r="4" ht="42.55" customHeight="1" thickBot="1">
      <c r="H4" s="9" t="inlineStr">
        <is>
          <t>C:\Users\Omer\rl-qecc-data\2026-07-14_21-58-14</t>
        </is>
      </c>
      <c r="I4" s="8" t="n">
        <v>111</v>
      </c>
      <c r="J4" s="7" t="inlineStr">
        <is>
          <t>9,6</t>
        </is>
      </c>
      <c r="K4" s="7" t="n">
        <v>8</v>
      </c>
      <c r="L4" s="7" t="n"/>
      <c r="M4" s="7" t="inlineStr">
        <is>
          <t>Hybrid</t>
        </is>
      </c>
      <c r="N4" s="7" t="n"/>
      <c r="O4" s="7" t="n"/>
      <c r="P4" s="7" t="n"/>
      <c r="Q4" s="7" t="inlineStr">
        <is>
          <t>2026-07-12_20-18-32/surrogate_6x6.pth</t>
        </is>
      </c>
      <c r="R4" s="7" t="n">
        <v>0.003</v>
      </c>
      <c r="S4" s="7" t="inlineStr">
        <is>
          <t>Done</t>
        </is>
      </c>
      <c r="T4" s="7" t="inlineStr">
        <is>
          <t>Yes</t>
        </is>
      </c>
    </row>
    <row r="5" ht="42.55" customHeight="1" thickBot="1">
      <c r="H5" s="7" t="inlineStr">
        <is>
          <t>C:\Users\Omer\rl-qecc-data\2026-07-14_21-41-33</t>
        </is>
      </c>
      <c r="I5" s="8" t="n">
        <v>2</v>
      </c>
      <c r="J5" s="7" t="inlineStr">
        <is>
          <t>9,6</t>
        </is>
      </c>
      <c r="K5" s="7" t="n">
        <v>8</v>
      </c>
      <c r="L5" s="7" t="n"/>
      <c r="M5" s="7" t="inlineStr">
        <is>
          <t>hybrid</t>
        </is>
      </c>
      <c r="N5" s="7" t="n"/>
      <c r="O5" s="7" t="n"/>
      <c r="P5" s="7" t="n"/>
      <c r="Q5" s="7" t="inlineStr">
        <is>
          <t>2026-07-12_20-18-32/surrogate_6x6.pth</t>
        </is>
      </c>
      <c r="R5" s="7" t="n">
        <v>0.003</v>
      </c>
      <c r="S5" s="7" t="inlineStr">
        <is>
          <t>Done</t>
        </is>
      </c>
      <c r="T5" s="9" t="inlineStr">
        <is>
          <t>Yes</t>
        </is>
      </c>
    </row>
    <row r="6" ht="42.55" customHeight="1" thickBot="1">
      <c r="H6" s="9" t="inlineStr">
        <is>
          <t>C:\Users\Omer\rl-qecc-data\2026-07-14_21-42-45</t>
        </is>
      </c>
      <c r="I6" s="8" t="n">
        <v>90210</v>
      </c>
      <c r="J6" s="7" t="inlineStr">
        <is>
          <t>9,6</t>
        </is>
      </c>
      <c r="K6" s="7" t="n">
        <v>8</v>
      </c>
      <c r="L6" s="7" t="n"/>
      <c r="M6" s="7" t="inlineStr">
        <is>
          <t>Hybrid</t>
        </is>
      </c>
      <c r="N6" s="7" t="n"/>
      <c r="O6" s="7" t="n"/>
      <c r="P6" s="7" t="n"/>
      <c r="Q6" s="7" t="inlineStr">
        <is>
          <t>2026-07-12_20-18-32/surrogate_6x6.pth</t>
        </is>
      </c>
      <c r="R6" s="7" t="n">
        <v>0.003</v>
      </c>
      <c r="S6" s="7" t="inlineStr">
        <is>
          <t>Done</t>
        </is>
      </c>
      <c r="T6" s="7" t="inlineStr">
        <is>
          <t>Yes</t>
        </is>
      </c>
    </row>
    <row r="7" ht="42.55" customHeight="1" thickBot="1">
      <c r="H7" s="9" t="inlineStr">
        <is>
          <t>C:\Users\Omer\rl-qecc-data\2026-07-14_21-42-52</t>
        </is>
      </c>
      <c r="I7" s="8" t="n">
        <v>466555</v>
      </c>
      <c r="J7" s="7" t="inlineStr">
        <is>
          <t>9,6</t>
        </is>
      </c>
      <c r="K7" s="7" t="n">
        <v>8</v>
      </c>
      <c r="L7" s="7" t="n"/>
      <c r="M7" s="7" t="inlineStr">
        <is>
          <t>hybrid</t>
        </is>
      </c>
      <c r="N7" s="7" t="n"/>
      <c r="O7" s="7" t="n"/>
      <c r="P7" s="7" t="n"/>
      <c r="Q7" s="7" t="inlineStr">
        <is>
          <t>2026-07-12_20-18-32/surrogate_6x6.pth</t>
        </is>
      </c>
      <c r="R7" s="7" t="n">
        <v>0.003</v>
      </c>
      <c r="S7" s="7" t="inlineStr">
        <is>
          <t>Done</t>
        </is>
      </c>
      <c r="T7" s="7" t="inlineStr">
        <is>
          <t>Yes</t>
        </is>
      </c>
    </row>
    <row r="8" ht="42.55" customHeight="1" thickBot="1">
      <c r="H8" s="9" t="n"/>
      <c r="I8" s="8" t="n">
        <v>101010</v>
      </c>
      <c r="J8" s="7" t="inlineStr">
        <is>
          <t>9,6</t>
        </is>
      </c>
      <c r="K8" s="7" t="n">
        <v>8</v>
      </c>
      <c r="L8" s="7" t="n"/>
      <c r="M8" s="7" t="inlineStr">
        <is>
          <t>Hybrid</t>
        </is>
      </c>
      <c r="N8" s="7" t="n"/>
      <c r="O8" s="7" t="n"/>
      <c r="P8" s="7" t="n"/>
      <c r="Q8" s="7" t="inlineStr">
        <is>
          <t>2026-07-12_21-15-58/surrogate_6x6.pth</t>
        </is>
      </c>
      <c r="R8" s="7" t="n">
        <v>0.003</v>
      </c>
      <c r="S8" s="7" t="inlineStr">
        <is>
          <t>Done</t>
        </is>
      </c>
      <c r="T8" s="7" t="inlineStr">
        <is>
          <t>Yes</t>
        </is>
      </c>
    </row>
    <row r="9" ht="42.55" customHeight="1" thickBot="1">
      <c r="H9" s="9" t="inlineStr">
        <is>
          <t>C:\Users\Omer\rl-qecc-data\2026-07-14_23-23-00</t>
        </is>
      </c>
      <c r="I9" s="8" t="n">
        <v>123456</v>
      </c>
      <c r="J9" s="7" t="inlineStr">
        <is>
          <t>9,6</t>
        </is>
      </c>
      <c r="K9" s="7" t="n">
        <v>8</v>
      </c>
      <c r="L9" s="7" t="n"/>
      <c r="M9" s="7" t="inlineStr">
        <is>
          <t>hybrid</t>
        </is>
      </c>
      <c r="N9" s="7" t="n"/>
      <c r="O9" s="7" t="n"/>
      <c r="P9" s="7" t="n"/>
      <c r="Q9" s="7" t="inlineStr">
        <is>
          <t>2026-07-12_21-15-58/surrogate_6x6.pth</t>
        </is>
      </c>
      <c r="R9" s="7" t="n">
        <v>0.003</v>
      </c>
      <c r="S9" s="7" t="inlineStr">
        <is>
          <t>Done</t>
        </is>
      </c>
      <c r="T9" s="7" t="inlineStr">
        <is>
          <t>Yes</t>
        </is>
      </c>
    </row>
    <row r="10" ht="42.55" customHeight="1" thickBot="1">
      <c r="H10" s="10" t="inlineStr">
        <is>
          <t>C:\Users\Omer\rl-qecc-data\2026-07-15_13-49-55</t>
        </is>
      </c>
      <c r="I10" s="11" t="n">
        <v>232323</v>
      </c>
      <c r="J10" s="12" t="inlineStr">
        <is>
          <t>9,6</t>
        </is>
      </c>
      <c r="K10" s="12" t="n">
        <v>8</v>
      </c>
      <c r="L10" s="12" t="n"/>
      <c r="M10" s="12" t="inlineStr">
        <is>
          <t>Hybrid</t>
        </is>
      </c>
      <c r="N10" s="12" t="n"/>
      <c r="O10" s="12" t="n"/>
      <c r="P10" s="12" t="n"/>
      <c r="Q10" s="12" t="inlineStr">
        <is>
          <t>2026-07-12_21-15-58/surrogate_6x6.pth</t>
        </is>
      </c>
      <c r="R10" s="12" t="n">
        <v>0.003</v>
      </c>
      <c r="S10" s="12" t="inlineStr">
        <is>
          <t>Done</t>
        </is>
      </c>
      <c r="T10" s="12" t="inlineStr">
        <is>
          <t>Not great</t>
        </is>
      </c>
      <c r="U10" s="1" t="inlineStr">
        <is>
          <t>Flat</t>
        </is>
      </c>
    </row>
    <row r="11" ht="42.55" customHeight="1" thickBot="1">
      <c r="H11" s="9" t="inlineStr">
        <is>
          <t>C:\Users\Omer\rl-qecc-data\2026-07-15_15-19-50_184940</t>
        </is>
      </c>
      <c r="I11" s="8" t="n">
        <v>111</v>
      </c>
      <c r="J11" s="7" t="inlineStr">
        <is>
          <t>9,6</t>
        </is>
      </c>
      <c r="K11" s="7" t="n">
        <v>8</v>
      </c>
      <c r="L11" s="7" t="n"/>
      <c r="M11" s="7" t="inlineStr">
        <is>
          <t>hybrid</t>
        </is>
      </c>
      <c r="N11" s="7" t="n"/>
      <c r="O11" s="7" t="n"/>
      <c r="P11" s="7" t="n">
        <v>10</v>
      </c>
      <c r="Q11" s="7" t="inlineStr">
        <is>
          <t>2026-07-12_21-15-58/surrogate_6x6.pth</t>
        </is>
      </c>
      <c r="R11" s="7" t="n">
        <v>0.003</v>
      </c>
      <c r="S11" s="7" t="n"/>
      <c r="T11" s="7" t="n"/>
    </row>
    <row r="12" ht="42.55" customHeight="1" thickBot="1">
      <c r="H12" s="1" t="inlineStr">
        <is>
          <t>C:\Users\Omer\rl-qecc-data\2026-07-15_15-53-06_3953074</t>
        </is>
      </c>
      <c r="I12" s="5" t="n">
        <v>2</v>
      </c>
      <c r="J12" s="6" t="inlineStr">
        <is>
          <t>9,6</t>
        </is>
      </c>
      <c r="K12" s="6" t="n">
        <v>8</v>
      </c>
      <c r="L12" s="6" t="n"/>
      <c r="M12" s="6" t="inlineStr">
        <is>
          <t>Hybrid</t>
        </is>
      </c>
      <c r="N12" s="6" t="n"/>
      <c r="O12" s="6" t="n"/>
      <c r="P12" s="6" t="n">
        <v>10</v>
      </c>
      <c r="Q12" s="6" t="inlineStr">
        <is>
          <t>2026-07-12_21-15-58/surrogate_6x6.pth</t>
        </is>
      </c>
      <c r="R12" s="6" t="n">
        <v>0.003</v>
      </c>
      <c r="S12" s="6" t="n"/>
      <c r="T12" s="6" t="n"/>
    </row>
    <row r="13" ht="42.55" customHeight="1" thickBot="1">
      <c r="H13" s="9" t="inlineStr">
        <is>
          <t>C:\Users\Omer\rl-qecc-data\2026-07-15_07-12-39</t>
        </is>
      </c>
      <c r="I13" s="8" t="n">
        <v>460101</v>
      </c>
      <c r="J13" s="7" t="inlineStr">
        <is>
          <t>9,6</t>
        </is>
      </c>
      <c r="K13" s="7" t="n">
        <v>8</v>
      </c>
      <c r="L13" s="7" t="n"/>
      <c r="M13" s="7" t="inlineStr">
        <is>
          <t>hybrid</t>
        </is>
      </c>
      <c r="N13" s="7" t="n"/>
      <c r="O13" s="7" t="n"/>
      <c r="P13" s="7" t="n"/>
      <c r="Q13" s="7" t="inlineStr">
        <is>
          <t>2026-07-12_21-15-58/surrogate_6x6.pth</t>
        </is>
      </c>
      <c r="R13" s="7" t="n">
        <v>0.003</v>
      </c>
      <c r="S13" s="7" t="inlineStr">
        <is>
          <t>Done</t>
        </is>
      </c>
      <c r="T13" s="7" t="inlineStr">
        <is>
          <t>Yes</t>
        </is>
      </c>
    </row>
    <row r="14" ht="42.55" customHeight="1" thickBot="1">
      <c r="H14" s="13" t="n"/>
      <c r="I14" s="14" t="n"/>
      <c r="J14" s="15" t="inlineStr">
        <is>
          <t>9,6</t>
        </is>
      </c>
      <c r="K14" s="15" t="n">
        <v>8</v>
      </c>
      <c r="L14" s="15" t="n"/>
      <c r="M14" s="15" t="n"/>
      <c r="N14" s="15" t="n"/>
      <c r="O14" s="15" t="n"/>
      <c r="P14" s="15" t="n">
        <v>50</v>
      </c>
      <c r="Q14" s="15" t="inlineStr">
        <is>
          <t>2026-07-12_21-15-58/surrogate_6x6.pth</t>
        </is>
      </c>
      <c r="R14" s="15" t="n">
        <v>0.003</v>
      </c>
      <c r="S14" s="15" t="n"/>
      <c r="T14" s="15" t="n"/>
    </row>
    <row r="15" ht="42.55" customHeight="1" thickBot="1">
      <c r="H15" s="13" t="n"/>
      <c r="I15" s="14" t="n"/>
      <c r="J15" s="15" t="inlineStr">
        <is>
          <t>9,6</t>
        </is>
      </c>
      <c r="K15" s="15" t="n">
        <v>8</v>
      </c>
      <c r="L15" s="15" t="n"/>
      <c r="M15" s="15" t="n"/>
      <c r="N15" s="15" t="n"/>
      <c r="O15" s="15" t="n"/>
      <c r="P15" s="15" t="n">
        <v>50</v>
      </c>
      <c r="Q15" s="15" t="inlineStr">
        <is>
          <t>2026-07-12_21-15-58/surrogate_6x6.pth</t>
        </is>
      </c>
      <c r="R15" s="15" t="n">
        <v>0.003</v>
      </c>
      <c r="S15" s="15" t="n"/>
      <c r="T15" s="15" t="n"/>
    </row>
    <row r="16" ht="42.55" customHeight="1" thickBot="1">
      <c r="H16" s="13" t="n"/>
      <c r="I16" s="14" t="n">
        <v>232323</v>
      </c>
      <c r="J16" s="15" t="inlineStr">
        <is>
          <t>9,6</t>
        </is>
      </c>
      <c r="K16" s="15" t="n">
        <v>8</v>
      </c>
      <c r="L16" s="15" t="n"/>
      <c r="M16" s="15" t="inlineStr">
        <is>
          <t>hybrid</t>
        </is>
      </c>
      <c r="N16" s="15" t="n"/>
      <c r="O16" s="15" t="n"/>
      <c r="P16" s="15" t="n">
        <v>50</v>
      </c>
      <c r="Q16" s="15" t="inlineStr">
        <is>
          <t>2026-07-12_21-15-58/surrogate_6x6.pth</t>
        </is>
      </c>
      <c r="R16" s="15" t="n">
        <v>0.003</v>
      </c>
      <c r="S16" s="15" t="n"/>
      <c r="T16" s="15" t="n"/>
    </row>
    <row r="17" ht="63.5" customHeight="1" thickBot="1">
      <c r="H17" s="13" t="inlineStr">
        <is>
          <t>C:\Users\Omer\rl-qecc-data\2026-07-15_14-55-03_3158085</t>
        </is>
      </c>
      <c r="I17" s="14" t="n">
        <v>232323</v>
      </c>
      <c r="J17" s="15" t="inlineStr">
        <is>
          <t>9,6</t>
        </is>
      </c>
      <c r="K17" s="15" t="n">
        <v>8</v>
      </c>
      <c r="L17" s="15" t="n"/>
      <c r="M17" s="15" t="inlineStr">
        <is>
          <t>hybrid</t>
        </is>
      </c>
      <c r="N17" s="15" t="n"/>
      <c r="O17" s="15" t="n"/>
      <c r="P17" s="15" t="n">
        <v>20</v>
      </c>
      <c r="Q17" s="16" t="inlineStr">
        <is>
          <t>2026-07-12_10-56-04/surrogate_6x6.pth</t>
        </is>
      </c>
      <c r="R17" s="15" t="n">
        <v>0.003</v>
      </c>
      <c r="S17" s="15" t="inlineStr">
        <is>
          <t>Done</t>
        </is>
      </c>
      <c r="T17" s="15" t="inlineStr">
        <is>
          <t>Yes</t>
        </is>
      </c>
    </row>
    <row r="18" ht="63.5" customHeight="1" thickBot="1">
      <c r="R18" s="15" t="n"/>
      <c r="S18" s="15" t="n"/>
      <c r="T18" s="15" t="n"/>
    </row>
    <row r="19" ht="42.55" customHeight="1" thickBot="1">
      <c r="I19" s="5" t="n">
        <v>2</v>
      </c>
      <c r="J19" s="6" t="inlineStr">
        <is>
          <t>15,3</t>
        </is>
      </c>
      <c r="K19" s="6" t="n">
        <v>10</v>
      </c>
      <c r="L19" s="6" t="n"/>
      <c r="M19" s="6" t="inlineStr">
        <is>
          <t>hybrid</t>
        </is>
      </c>
      <c r="N19" s="6" t="inlineStr">
        <is>
          <t>Yes (pretrained)</t>
        </is>
      </c>
      <c r="O19" s="6" t="n">
        <v>0.1</v>
      </c>
      <c r="P19" s="6" t="n">
        <v>10</v>
      </c>
      <c r="Q19" s="6" t="inlineStr">
        <is>
          <t>2026-07-12_21-15-58/surrogate_6x6.pth</t>
        </is>
      </c>
      <c r="R19" s="6" t="n">
        <v>0.003</v>
      </c>
      <c r="S19" s="6" t="n"/>
      <c r="T19" s="6" t="n"/>
    </row>
    <row r="20" ht="42.55" customHeight="1" thickBot="1">
      <c r="H20" s="1" t="inlineStr">
        <is>
          <t>C:\Users\Omer\rl-qecc-data\2026-07-15_20-20-03_3795808</t>
        </is>
      </c>
      <c r="I20" s="5" t="n">
        <v>232323</v>
      </c>
      <c r="J20" s="6" t="inlineStr">
        <is>
          <t>15,3</t>
        </is>
      </c>
      <c r="K20" s="6" t="n">
        <v>10</v>
      </c>
      <c r="L20" s="6" t="n"/>
      <c r="M20" s="6" t="inlineStr">
        <is>
          <t>hybrid</t>
        </is>
      </c>
      <c r="N20" s="6" t="inlineStr">
        <is>
          <t>No</t>
        </is>
      </c>
      <c r="O20" s="6" t="n">
        <v>1</v>
      </c>
      <c r="P20" s="6" t="n">
        <v>0</v>
      </c>
      <c r="Q20" s="6" t="inlineStr">
        <is>
          <t>2026-07-12_21-15-58/surrogate_6x6.pth</t>
        </is>
      </c>
      <c r="R20" s="6" t="n">
        <v>0.003</v>
      </c>
      <c r="S20" s="6" t="n"/>
      <c r="T20" s="6" t="n"/>
    </row>
    <row r="21" ht="42.55" customHeight="1" thickBot="1">
      <c r="H21" s="1" t="inlineStr">
        <is>
          <t>C:\Users\Omer\rl-qecc-data\2026-07-15_23-52-37_217901</t>
        </is>
      </c>
      <c r="I21" s="5" t="n">
        <v>232323</v>
      </c>
      <c r="J21" s="6" t="inlineStr">
        <is>
          <t>15,3</t>
        </is>
      </c>
      <c r="K21" s="6" t="n">
        <v>10</v>
      </c>
      <c r="L21" s="6" t="n"/>
      <c r="M21" s="6" t="inlineStr">
        <is>
          <t>hybrid</t>
        </is>
      </c>
      <c r="N21" s="6" t="n"/>
      <c r="O21" s="6" t="n">
        <v>0.1</v>
      </c>
      <c r="P21" s="6" t="n">
        <v>10</v>
      </c>
      <c r="Q21" s="6" t="inlineStr">
        <is>
          <t>2026-07-12_21-15-58/surrogate_6x6.pth</t>
        </is>
      </c>
      <c r="R21" s="6" t="n">
        <v>0.003</v>
      </c>
      <c r="S21" s="6" t="n"/>
      <c r="T21" s="6" t="n"/>
    </row>
    <row r="22" ht="42.55" customHeight="1" thickBot="1">
      <c r="I22" s="5" t="n"/>
      <c r="J22" s="6" t="inlineStr">
        <is>
          <t>15,3</t>
        </is>
      </c>
      <c r="K22" s="6" t="n">
        <v>10</v>
      </c>
      <c r="L22" s="6" t="n"/>
      <c r="M22" s="6" t="inlineStr">
        <is>
          <t>hybrid</t>
        </is>
      </c>
      <c r="N22" s="6" t="n"/>
      <c r="O22" s="6" t="n"/>
      <c r="P22" s="6" t="n"/>
      <c r="Q22" s="6" t="inlineStr">
        <is>
          <t>2026-07-12_21-15-58/surrogate_6x6.pth</t>
        </is>
      </c>
      <c r="R22" s="6" t="n">
        <v>0.003</v>
      </c>
      <c r="S22" s="6" t="n"/>
      <c r="T22" s="6" t="n"/>
    </row>
    <row r="23" ht="42.55" customHeight="1" thickBot="1">
      <c r="I23" s="5" t="n"/>
      <c r="J23" s="6" t="inlineStr">
        <is>
          <t>15,3</t>
        </is>
      </c>
      <c r="K23" s="6" t="n">
        <v>10</v>
      </c>
      <c r="L23" s="6" t="n"/>
      <c r="M23" s="6" t="inlineStr">
        <is>
          <t>hybrid</t>
        </is>
      </c>
      <c r="N23" s="6" t="n"/>
      <c r="O23" s="6" t="n"/>
      <c r="P23" s="6" t="n"/>
      <c r="Q23" s="6" t="inlineStr">
        <is>
          <t>2026-07-12_21-15-58/surrogate_6x6.pth</t>
        </is>
      </c>
      <c r="R23" s="6" t="n">
        <v>0.003</v>
      </c>
      <c r="S23" s="6" t="n"/>
      <c r="T23" s="6" t="n"/>
    </row>
    <row r="24" ht="42.55" customHeight="1" thickBot="1">
      <c r="I24" s="5" t="n"/>
      <c r="J24" s="6" t="inlineStr">
        <is>
          <t>15,3</t>
        </is>
      </c>
      <c r="K24" s="6" t="n">
        <v>10</v>
      </c>
      <c r="L24" s="6" t="n"/>
      <c r="M24" s="6" t="inlineStr">
        <is>
          <t>hybrid</t>
        </is>
      </c>
      <c r="N24" s="6" t="n"/>
      <c r="O24" s="6" t="n"/>
      <c r="P24" s="6" t="n"/>
      <c r="Q24" s="6" t="inlineStr">
        <is>
          <t>2026-07-12_21-15-58/surrogate_6x6.pth</t>
        </is>
      </c>
      <c r="R24" s="6" t="n">
        <v>0.003</v>
      </c>
      <c r="S24" s="6" t="n"/>
      <c r="T24" s="6" t="n"/>
    </row>
    <row r="25">
      <c r="I25" s="1" t="n">
        <v>111</v>
      </c>
      <c r="J25" s="1" t="inlineStr">
        <is>
          <t>9,6</t>
        </is>
      </c>
      <c r="K25" s="1" t="n">
        <v>8</v>
      </c>
      <c r="M25" s="1" t="inlineStr">
        <is>
          <t>hybrid</t>
        </is>
      </c>
      <c r="N25" s="1" t="inlineStr">
        <is>
          <t>No</t>
        </is>
      </c>
      <c r="O25" s="1" t="n">
        <v>0.1</v>
      </c>
      <c r="P25" s="1" t="n">
        <v>50</v>
      </c>
    </row>
    <row r="26">
      <c r="I26" s="1" t="n">
        <v>101010</v>
      </c>
      <c r="J26" s="1" t="inlineStr">
        <is>
          <t>9,6</t>
        </is>
      </c>
      <c r="K26" s="1" t="n">
        <v>8</v>
      </c>
      <c r="M26" s="1" t="inlineStr">
        <is>
          <t>hybrid</t>
        </is>
      </c>
      <c r="N26" s="1" t="inlineStr">
        <is>
          <t>No</t>
        </is>
      </c>
      <c r="O26" s="1" t="n">
        <v>0.1</v>
      </c>
      <c r="P26" s="1" t="n">
        <v>50</v>
      </c>
    </row>
    <row r="27">
      <c r="N27" s="1" t="inlineStr">
        <is>
          <t>No</t>
        </is>
      </c>
      <c r="O27" s="1" t="n">
        <v>1</v>
      </c>
      <c r="P27" s="1" t="n">
        <v>0</v>
      </c>
    </row>
    <row r="28">
      <c r="H28" t="inlineStr">
        <is>
          <t>C:\Users\Omer\rl-qecc-data\2026-07-04_21-14-02</t>
        </is>
      </c>
      <c r="I28" t="n">
        <v>7134066</v>
      </c>
      <c r="N28" t="inlineStr">
        <is>
          <t>No</t>
        </is>
      </c>
      <c r="R28" t="n">
        <v>0.0001</v>
      </c>
      <c r="S28" t="inlineStr">
        <is>
          <t>Done</t>
        </is>
      </c>
      <c r="V28">
        <f>HYPERLINK("C:\Users\Omer\rl-qecc-data\2026-07-04_21-14-02\postProcessing.png","plot")</f>
        <v/>
      </c>
      <c r="W28">
        <f>HYPERLINK("C:\Users\Omer\rl-qecc-data\2026-07-04_21-14-02\experiment.txt","experiment.txt")</f>
        <v/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H1:W113"/>
  <sheetViews>
    <sheetView tabSelected="1" workbookViewId="0">
      <selection activeCell="H1" sqref="H1:U1"/>
    </sheetView>
  </sheetViews>
  <sheetFormatPr baseColWidth="8" defaultRowHeight="15.05"/>
  <sheetData>
    <row r="1" ht="105.4" customHeight="1" thickBot="1">
      <c r="H1" s="1" t="inlineStr">
        <is>
          <t>Job name / folder name</t>
        </is>
      </c>
      <c r="I1" s="2" t="inlineStr">
        <is>
          <t>Seed</t>
        </is>
      </c>
      <c r="J1" s="3" t="inlineStr">
        <is>
          <t>Code</t>
        </is>
      </c>
      <c r="K1" s="3" t="inlineStr">
        <is>
          <t>Number of qubits</t>
        </is>
      </c>
      <c r="L1" s="3" t="n"/>
      <c r="M1" s="3" t="inlineStr">
        <is>
          <t>Network architecture</t>
        </is>
      </c>
      <c r="N1" s="3" t="inlineStr">
        <is>
          <t>Use pretrained encoder</t>
        </is>
      </c>
      <c r="O1" s="3" t="inlineStr">
        <is>
          <t>Encoder lr factor</t>
        </is>
      </c>
      <c r="P1" s="3" t="inlineStr">
        <is>
          <t>Freeze until ?</t>
        </is>
      </c>
      <c r="Q1" s="3" t="inlineStr">
        <is>
          <t>Encoder</t>
        </is>
      </c>
      <c r="R1" s="3" t="inlineStr">
        <is>
          <t>Entropy eps</t>
        </is>
      </c>
      <c r="S1" s="3" t="inlineStr">
        <is>
          <t>Running / processed</t>
        </is>
      </c>
      <c r="T1" s="3" t="inlineStr">
        <is>
          <t>Is good ?</t>
        </is>
      </c>
      <c r="U1" s="4" t="inlineStr">
        <is>
          <t>Comments</t>
        </is>
      </c>
      <c r="V1" t="inlineStr">
        <is>
          <t>Plot</t>
        </is>
      </c>
      <c r="W1" t="inlineStr">
        <is>
          <t>Data</t>
        </is>
      </c>
    </row>
    <row r="2">
      <c r="H2" t="inlineStr">
        <is>
          <t>c:/users/omer/rl-qecc-data/2026-07-16_18-30-47_4059110</t>
        </is>
      </c>
      <c r="I2" t="n">
        <v>232323</v>
      </c>
      <c r="J2" t="inlineStr">
        <is>
          <t>9,6</t>
        </is>
      </c>
      <c r="K2" t="n">
        <v>8</v>
      </c>
      <c r="M2" t="inlineStr">
        <is>
          <t>hybrid</t>
        </is>
      </c>
      <c r="N2" t="inlineStr">
        <is>
          <t>Yes</t>
        </is>
      </c>
      <c r="O2" t="n">
        <v>0.1</v>
      </c>
      <c r="P2" t="n">
        <v>50</v>
      </c>
      <c r="Q2" t="inlineStr">
        <is>
          <t>2026-07-12_21-15-58/surrogate_6x6.pth</t>
        </is>
      </c>
      <c r="R2" t="n">
        <v>0.003</v>
      </c>
      <c r="S2" t="inlineStr">
        <is>
          <t>Done</t>
        </is>
      </c>
      <c r="V2">
        <f>HYPERLINK("c:\users\omer\rl-qecc-data\2026-07-16_18-30-47_4059110\postProcessing.png","plot")</f>
        <v/>
      </c>
      <c r="W2">
        <f>HYPERLINK("c:\users\omer\rl-qecc-data\2026-07-16_18-30-47_4059110\experiment.txt","experiment.txt")</f>
        <v/>
      </c>
    </row>
    <row r="3">
      <c r="H3" t="inlineStr">
        <is>
          <t>C:\Users\Omer\rl-qecc-data\2026-07-14_08-27-56</t>
        </is>
      </c>
      <c r="I3" t="n">
        <v>123456</v>
      </c>
      <c r="J3" t="inlineStr">
        <is>
          <t>9,6</t>
        </is>
      </c>
      <c r="K3" t="n">
        <v>6</v>
      </c>
      <c r="M3" t="inlineStr">
        <is>
          <t>hybrid</t>
        </is>
      </c>
      <c r="N3" t="inlineStr">
        <is>
          <t>Yes</t>
        </is>
      </c>
      <c r="O3" t="n">
        <v>0.1</v>
      </c>
      <c r="P3" t="n">
        <v>20</v>
      </c>
      <c r="Q3" t="inlineStr">
        <is>
          <t>2026-07-12_20-18-32/surrogate_6x6.pth</t>
        </is>
      </c>
      <c r="R3" t="n">
        <v>0.3</v>
      </c>
      <c r="S3" t="inlineStr">
        <is>
          <t>Done</t>
        </is>
      </c>
      <c r="V3">
        <f>HYPERLINK("C:\Users\Omer\rl-qecc-data\2026-07-14_08-27-56\postProcessing.png","plot")</f>
        <v/>
      </c>
      <c r="W3">
        <f>HYPERLINK("C:\Users\Omer\rl-qecc-data\2026-07-14_08-27-56\experiment.txt","experiment.txt")</f>
        <v/>
      </c>
    </row>
    <row r="4">
      <c r="H4" t="inlineStr">
        <is>
          <t>c:/users/omer/rl-qecc-data/2026-07-02_13-39-22</t>
        </is>
      </c>
      <c r="N4" t="inlineStr">
        <is>
          <t>No</t>
        </is>
      </c>
      <c r="S4" t="inlineStr">
        <is>
          <t>Done</t>
        </is>
      </c>
      <c r="V4">
        <f>HYPERLINK("c:\users\omer\rl-qecc-data\2026-07-02_13-39-22\postProcessing.png","plot")</f>
        <v/>
      </c>
      <c r="W4">
        <f>HYPERLINK("c:\users\omer\rl-qecc-data\2026-07-02_13-39-22\experiment.txt","experiment.txt")</f>
        <v/>
      </c>
    </row>
    <row r="5">
      <c r="H5" t="inlineStr">
        <is>
          <t>c:/users/omer/rl-qecc-data/2026-07-02_16-59-51</t>
        </is>
      </c>
      <c r="N5" t="inlineStr">
        <is>
          <t>No</t>
        </is>
      </c>
      <c r="S5" t="inlineStr">
        <is>
          <t>Done</t>
        </is>
      </c>
      <c r="V5">
        <f>HYPERLINK("c:\users\omer\rl-qecc-data\2026-07-02_16-59-51\postProcessing.png","plot")</f>
        <v/>
      </c>
      <c r="W5">
        <f>HYPERLINK("c:\users\omer\rl-qecc-data\2026-07-02_16-59-51\experiment.txt","experiment.txt")</f>
        <v/>
      </c>
    </row>
    <row r="6">
      <c r="H6" t="inlineStr">
        <is>
          <t>c:/users/omer/rl-qecc-data/2026-07-02_17-00-26</t>
        </is>
      </c>
      <c r="N6" t="inlineStr">
        <is>
          <t>No</t>
        </is>
      </c>
      <c r="S6" t="inlineStr">
        <is>
          <t>Done</t>
        </is>
      </c>
      <c r="V6">
        <f>HYPERLINK("c:\users\omer\rl-qecc-data\2026-07-02_17-00-26\postProcessing.png","plot")</f>
        <v/>
      </c>
      <c r="W6">
        <f>HYPERLINK("c:\users\omer\rl-qecc-data\2026-07-02_17-00-26\experiment.txt","experiment.txt")</f>
        <v/>
      </c>
    </row>
    <row r="7">
      <c r="H7" t="inlineStr">
        <is>
          <t>c:/users/omer/rl-qecc-data/2026-07-02_20-49-12</t>
        </is>
      </c>
      <c r="N7" t="inlineStr">
        <is>
          <t>No</t>
        </is>
      </c>
      <c r="S7" t="inlineStr">
        <is>
          <t>Done</t>
        </is>
      </c>
      <c r="V7">
        <f>HYPERLINK("c:\users\omer\rl-qecc-data\2026-07-02_20-49-12\postProcessing.png","plot")</f>
        <v/>
      </c>
      <c r="W7">
        <f>HYPERLINK("c:\users\omer\rl-qecc-data\2026-07-02_20-49-12\experiment.txt","experiment.txt")</f>
        <v/>
      </c>
    </row>
    <row r="8">
      <c r="H8" t="inlineStr">
        <is>
          <t>c:/users/omer/rl-qecc-data/2026-07-02_20-58-54</t>
        </is>
      </c>
      <c r="N8" t="inlineStr">
        <is>
          <t>No</t>
        </is>
      </c>
      <c r="S8" t="inlineStr">
        <is>
          <t>Done</t>
        </is>
      </c>
      <c r="V8">
        <f>HYPERLINK("c:\users\omer\rl-qecc-data\2026-07-02_20-58-54\postProcessing.png","plot")</f>
        <v/>
      </c>
      <c r="W8">
        <f>HYPERLINK("c:\users\omer\rl-qecc-data\2026-07-02_20-58-54\experiment.txt","experiment.txt")</f>
        <v/>
      </c>
    </row>
    <row r="9">
      <c r="H9" t="inlineStr">
        <is>
          <t>c:/users/omer/rl-qecc-data/2026-07-02_21-50-41</t>
        </is>
      </c>
      <c r="N9" t="inlineStr">
        <is>
          <t>No</t>
        </is>
      </c>
      <c r="S9" t="inlineStr">
        <is>
          <t>Done</t>
        </is>
      </c>
      <c r="V9">
        <f>HYPERLINK("c:\users\omer\rl-qecc-data\2026-07-02_21-50-41\postProcessing.png","plot")</f>
        <v/>
      </c>
      <c r="W9">
        <f>HYPERLINK("c:\users\omer\rl-qecc-data\2026-07-02_21-50-41\experiment.txt","experiment.txt")</f>
        <v/>
      </c>
    </row>
    <row r="10">
      <c r="H10" t="inlineStr">
        <is>
          <t>c:/users/omer/rl-qecc-data/2026-07-04_21-14-02</t>
        </is>
      </c>
      <c r="I10" t="n">
        <v>7134066</v>
      </c>
      <c r="N10" t="inlineStr">
        <is>
          <t>No</t>
        </is>
      </c>
      <c r="R10" t="n">
        <v>0.0001</v>
      </c>
      <c r="S10" t="inlineStr">
        <is>
          <t>Done</t>
        </is>
      </c>
      <c r="V10">
        <f>HYPERLINK("c:\users\omer\rl-qecc-data\2026-07-04_21-14-02\postProcessing.png","plot")</f>
        <v/>
      </c>
      <c r="W10">
        <f>HYPERLINK("c:\users\omer\rl-qecc-data\2026-07-04_21-14-02\experiment.txt","experiment.txt")</f>
        <v/>
      </c>
    </row>
    <row r="11">
      <c r="H11" t="inlineStr">
        <is>
          <t>c:/users/omer/rl-qecc-data/2026-07-04_21-40-29</t>
        </is>
      </c>
      <c r="I11" t="n">
        <v>7134066</v>
      </c>
      <c r="N11" t="inlineStr">
        <is>
          <t>No</t>
        </is>
      </c>
      <c r="R11" t="n">
        <v>0.0001</v>
      </c>
      <c r="S11" t="inlineStr">
        <is>
          <t>Done</t>
        </is>
      </c>
      <c r="V11">
        <f>HYPERLINK("c:\users\omer\rl-qecc-data\2026-07-04_21-40-29\postProcessing.png","plot")</f>
        <v/>
      </c>
      <c r="W11">
        <f>HYPERLINK("c:\users\omer\rl-qecc-data\2026-07-04_21-40-29\experiment.txt","experiment.txt")</f>
        <v/>
      </c>
    </row>
    <row r="12">
      <c r="H12" t="inlineStr">
        <is>
          <t>c:/users/omer/rl-qecc-data/2026-07-05_14-27-37</t>
        </is>
      </c>
      <c r="I12" t="n">
        <v>546564</v>
      </c>
      <c r="N12" t="inlineStr">
        <is>
          <t>No</t>
        </is>
      </c>
      <c r="R12" t="n">
        <v>0.0001</v>
      </c>
      <c r="S12" t="inlineStr">
        <is>
          <t>Done</t>
        </is>
      </c>
      <c r="V12">
        <f>HYPERLINK("c:\users\omer\rl-qecc-data\2026-07-05_14-27-37\postProcessing.png","plot")</f>
        <v/>
      </c>
      <c r="W12">
        <f>HYPERLINK("c:\users\omer\rl-qecc-data\2026-07-05_14-27-37\experiment.txt","experiment.txt")</f>
        <v/>
      </c>
    </row>
    <row r="13">
      <c r="H13" t="inlineStr">
        <is>
          <t>c:/users/omer/rl-qecc-data/2026-07-05_14-28-45</t>
        </is>
      </c>
      <c r="I13" t="n">
        <v>498464</v>
      </c>
      <c r="N13" t="inlineStr">
        <is>
          <t>No</t>
        </is>
      </c>
      <c r="R13" t="n">
        <v>0.0001</v>
      </c>
      <c r="S13" t="inlineStr">
        <is>
          <t>Done</t>
        </is>
      </c>
      <c r="V13">
        <f>HYPERLINK("c:\users\omer\rl-qecc-data\2026-07-05_14-28-45\postProcessing.png","plot")</f>
        <v/>
      </c>
      <c r="W13">
        <f>HYPERLINK("c:\users\omer\rl-qecc-data\2026-07-05_14-28-45\experiment.txt","experiment.txt")</f>
        <v/>
      </c>
    </row>
    <row r="14">
      <c r="H14" t="inlineStr">
        <is>
          <t>c:/users/omer/rl-qecc-data/2026-07-05_14-28-48</t>
        </is>
      </c>
      <c r="I14" t="n">
        <v>61616</v>
      </c>
      <c r="N14" t="inlineStr">
        <is>
          <t>No</t>
        </is>
      </c>
      <c r="R14" t="n">
        <v>0.0001</v>
      </c>
      <c r="S14" t="inlineStr">
        <is>
          <t>Done</t>
        </is>
      </c>
      <c r="V14">
        <f>HYPERLINK("c:\users\omer\rl-qecc-data\2026-07-05_14-28-48\postProcessing.png","plot")</f>
        <v/>
      </c>
      <c r="W14">
        <f>HYPERLINK("c:\users\omer\rl-qecc-data\2026-07-05_14-28-48\experiment.txt","experiment.txt")</f>
        <v/>
      </c>
    </row>
    <row r="15">
      <c r="H15" t="inlineStr">
        <is>
          <t>c:/users/omer/rl-qecc-data/2026-07-05_14-29-15</t>
        </is>
      </c>
      <c r="I15" t="n">
        <v>468</v>
      </c>
      <c r="N15" t="inlineStr">
        <is>
          <t>No</t>
        </is>
      </c>
      <c r="R15" t="n">
        <v>0.0001</v>
      </c>
      <c r="S15" t="inlineStr">
        <is>
          <t>Done</t>
        </is>
      </c>
      <c r="V15">
        <f>HYPERLINK("c:\users\omer\rl-qecc-data\2026-07-05_14-29-15\postProcessing.png","plot")</f>
        <v/>
      </c>
      <c r="W15">
        <f>HYPERLINK("c:\users\omer\rl-qecc-data\2026-07-05_14-29-15\experiment.txt","experiment.txt")</f>
        <v/>
      </c>
    </row>
    <row r="16">
      <c r="H16" t="inlineStr">
        <is>
          <t>c:/users/omer/rl-qecc-data/2026-07-05_14-29-45</t>
        </is>
      </c>
      <c r="I16" t="n">
        <v>1841</v>
      </c>
      <c r="N16" t="inlineStr">
        <is>
          <t>No</t>
        </is>
      </c>
      <c r="R16" t="n">
        <v>0.0001</v>
      </c>
      <c r="S16" t="inlineStr">
        <is>
          <t>Done</t>
        </is>
      </c>
      <c r="V16">
        <f>HYPERLINK("c:\users\omer\rl-qecc-data\2026-07-05_14-29-45\postProcessing.png","plot")</f>
        <v/>
      </c>
      <c r="W16">
        <f>HYPERLINK("c:\users\omer\rl-qecc-data\2026-07-05_14-29-45\experiment.txt","experiment.txt")</f>
        <v/>
      </c>
    </row>
    <row r="17">
      <c r="H17" t="inlineStr">
        <is>
          <t>c:/users/omer/rl-qecc-data/2026-07-07_20-33-48</t>
        </is>
      </c>
      <c r="I17" t="n">
        <v>7134066</v>
      </c>
      <c r="N17" t="inlineStr">
        <is>
          <t>No</t>
        </is>
      </c>
      <c r="R17" t="n">
        <v>0.0001</v>
      </c>
      <c r="S17" t="inlineStr">
        <is>
          <t>Done</t>
        </is>
      </c>
      <c r="V17">
        <f>HYPERLINK("c:\users\omer\rl-qecc-data\2026-07-07_20-33-48\postProcessing.png","plot")</f>
        <v/>
      </c>
      <c r="W17">
        <f>HYPERLINK("c:\users\omer\rl-qecc-data\2026-07-07_20-33-48\experiment.txt","experiment.txt")</f>
        <v/>
      </c>
    </row>
    <row r="18">
      <c r="H18" t="inlineStr">
        <is>
          <t>c:/users/omer/rl-qecc-data/2026-07-07_21-40-39</t>
        </is>
      </c>
      <c r="I18" t="n">
        <v>7134066</v>
      </c>
      <c r="N18" t="inlineStr">
        <is>
          <t>No</t>
        </is>
      </c>
      <c r="R18" t="n">
        <v>0.0001</v>
      </c>
      <c r="S18" t="inlineStr">
        <is>
          <t>Done</t>
        </is>
      </c>
      <c r="V18">
        <f>HYPERLINK("c:\users\omer\rl-qecc-data\2026-07-07_21-40-39\postProcessing.png","plot")</f>
        <v/>
      </c>
      <c r="W18">
        <f>HYPERLINK("c:\users\omer\rl-qecc-data\2026-07-07_21-40-39\experiment.txt","experiment.txt")</f>
        <v/>
      </c>
    </row>
    <row r="19">
      <c r="H19" t="inlineStr">
        <is>
          <t>c:/users/omer/rl-qecc-data/2026-07-07_23-30-55</t>
        </is>
      </c>
      <c r="N19" t="inlineStr">
        <is>
          <t>No</t>
        </is>
      </c>
      <c r="S19" t="inlineStr">
        <is>
          <t>Done</t>
        </is>
      </c>
      <c r="V19">
        <f>HYPERLINK("c:\users\omer\rl-qecc-data\2026-07-07_23-30-55\postProcessing.png","plot")</f>
        <v/>
      </c>
      <c r="W19">
        <f>HYPERLINK("c:\users\omer\rl-qecc-data\2026-07-07_23-30-55\experiment.txt","experiment.txt")</f>
        <v/>
      </c>
    </row>
    <row r="20">
      <c r="H20" t="inlineStr">
        <is>
          <t>c:/users/omer/rl-qecc-data/2026-07-07_23-34-18</t>
        </is>
      </c>
      <c r="N20" t="inlineStr">
        <is>
          <t>No</t>
        </is>
      </c>
      <c r="S20" t="inlineStr">
        <is>
          <t>Done</t>
        </is>
      </c>
      <c r="V20">
        <f>HYPERLINK("c:\users\omer\rl-qecc-data\2026-07-07_23-34-18\postProcessing.png","plot")</f>
        <v/>
      </c>
      <c r="W20">
        <f>HYPERLINK("c:\users\omer\rl-qecc-data\2026-07-07_23-34-18\experiment.txt","experiment.txt")</f>
        <v/>
      </c>
    </row>
    <row r="21">
      <c r="H21" t="inlineStr">
        <is>
          <t>c:/users/omer/rl-qecc-data/2026-07-07_23-44-14</t>
        </is>
      </c>
      <c r="N21" t="inlineStr">
        <is>
          <t>No</t>
        </is>
      </c>
      <c r="S21" t="inlineStr">
        <is>
          <t>Done</t>
        </is>
      </c>
      <c r="V21">
        <f>HYPERLINK("c:\users\omer\rl-qecc-data\2026-07-07_23-44-14\postProcessing.png","plot")</f>
        <v/>
      </c>
      <c r="W21">
        <f>HYPERLINK("c:\users\omer\rl-qecc-data\2026-07-07_23-44-14\experiment.txt","experiment.txt")</f>
        <v/>
      </c>
    </row>
    <row r="22">
      <c r="H22" t="inlineStr">
        <is>
          <t>c:/users/omer/rl-qecc-data/2026-07-08_19-32-01</t>
        </is>
      </c>
      <c r="I22" t="n">
        <v>14</v>
      </c>
      <c r="N22" t="inlineStr">
        <is>
          <t>No</t>
        </is>
      </c>
      <c r="R22" t="n">
        <v>0.0001</v>
      </c>
      <c r="S22" t="inlineStr">
        <is>
          <t>Done</t>
        </is>
      </c>
      <c r="V22">
        <f>HYPERLINK("c:\users\omer\rl-qecc-data\2026-07-08_19-32-01\postProcessing.png","plot")</f>
        <v/>
      </c>
      <c r="W22">
        <f>HYPERLINK("c:\users\omer\rl-qecc-data\2026-07-08_19-32-01\experiment.txt","experiment.txt")</f>
        <v/>
      </c>
    </row>
    <row r="23">
      <c r="H23" t="inlineStr">
        <is>
          <t>c:/users/omer/rl-qecc-data/2026-07-08_19-37-16</t>
        </is>
      </c>
      <c r="I23" t="n">
        <v>14</v>
      </c>
      <c r="N23" t="inlineStr">
        <is>
          <t>No</t>
        </is>
      </c>
      <c r="R23" t="n">
        <v>0.0001</v>
      </c>
      <c r="S23" t="inlineStr">
        <is>
          <t>Done</t>
        </is>
      </c>
      <c r="V23">
        <f>HYPERLINK("c:\users\omer\rl-qecc-data\2026-07-08_19-37-16\postProcessing.png","plot")</f>
        <v/>
      </c>
      <c r="W23">
        <f>HYPERLINK("c:\users\omer\rl-qecc-data\2026-07-08_19-37-16\experiment.txt","experiment.txt")</f>
        <v/>
      </c>
    </row>
    <row r="24">
      <c r="H24" t="inlineStr">
        <is>
          <t>c:/users/omer/rl-qecc-data/2026-07-08_20-03-49</t>
        </is>
      </c>
      <c r="I24" t="n">
        <v>14</v>
      </c>
      <c r="N24" t="inlineStr">
        <is>
          <t>No</t>
        </is>
      </c>
      <c r="R24" t="n">
        <v>0.0001</v>
      </c>
      <c r="S24" t="inlineStr">
        <is>
          <t>Done</t>
        </is>
      </c>
      <c r="V24">
        <f>HYPERLINK("c:\users\omer\rl-qecc-data\2026-07-08_20-03-49\postProcessing.png","plot")</f>
        <v/>
      </c>
      <c r="W24">
        <f>HYPERLINK("c:\users\omer\rl-qecc-data\2026-07-08_20-03-49\experiment.txt","experiment.txt")</f>
        <v/>
      </c>
    </row>
    <row r="25">
      <c r="H25" t="inlineStr">
        <is>
          <t>c:/users/omer/rl-qecc-data/2026-07-08_20-24-25</t>
        </is>
      </c>
      <c r="I25" t="n">
        <v>14</v>
      </c>
      <c r="N25" t="inlineStr">
        <is>
          <t>No</t>
        </is>
      </c>
      <c r="R25" t="n">
        <v>0.0001</v>
      </c>
      <c r="S25" t="inlineStr">
        <is>
          <t>Done</t>
        </is>
      </c>
      <c r="V25">
        <f>HYPERLINK("c:\users\omer\rl-qecc-data\2026-07-08_20-24-25\postProcessing.png","plot")</f>
        <v/>
      </c>
      <c r="W25">
        <f>HYPERLINK("c:\users\omer\rl-qecc-data\2026-07-08_20-24-25\experiment.txt","experiment.txt")</f>
        <v/>
      </c>
    </row>
    <row r="26">
      <c r="H26" t="inlineStr">
        <is>
          <t>c:/users/omer/rl-qecc-data/2026-07-08_21-18-49</t>
        </is>
      </c>
      <c r="I26" t="n">
        <v>14</v>
      </c>
      <c r="N26" t="inlineStr">
        <is>
          <t>No</t>
        </is>
      </c>
      <c r="R26" t="n">
        <v>0.0001</v>
      </c>
      <c r="S26" t="inlineStr">
        <is>
          <t>Done</t>
        </is>
      </c>
      <c r="V26">
        <f>HYPERLINK("c:\users\omer\rl-qecc-data\2026-07-08_21-18-49\postProcessing.png","plot")</f>
        <v/>
      </c>
      <c r="W26">
        <f>HYPERLINK("c:\users\omer\rl-qecc-data\2026-07-08_21-18-49\experiment.txt","experiment.txt")</f>
        <v/>
      </c>
    </row>
    <row r="27">
      <c r="H27" t="inlineStr">
        <is>
          <t>c:/users/omer/rl-qecc-data/2026-07-08_22-18-00</t>
        </is>
      </c>
      <c r="I27" t="n">
        <v>14</v>
      </c>
      <c r="N27" t="inlineStr">
        <is>
          <t>No</t>
        </is>
      </c>
      <c r="R27" t="n">
        <v>0.0001</v>
      </c>
      <c r="S27" t="inlineStr">
        <is>
          <t>Done</t>
        </is>
      </c>
      <c r="V27">
        <f>HYPERLINK("c:\users\omer\rl-qecc-data\2026-07-08_22-18-00\postProcessing.png","plot")</f>
        <v/>
      </c>
      <c r="W27">
        <f>HYPERLINK("c:\users\omer\rl-qecc-data\2026-07-08_22-18-00\experiment.txt","experiment.txt")</f>
        <v/>
      </c>
    </row>
    <row r="28">
      <c r="H28" t="inlineStr">
        <is>
          <t>c:/users/omer/rl-qecc-data/2026-07-09_08-21-01</t>
        </is>
      </c>
      <c r="I28" t="n">
        <v>14</v>
      </c>
      <c r="N28" t="inlineStr">
        <is>
          <t>No</t>
        </is>
      </c>
      <c r="R28" t="n">
        <v>0.0001</v>
      </c>
      <c r="S28" t="inlineStr">
        <is>
          <t>Done</t>
        </is>
      </c>
      <c r="V28">
        <f>HYPERLINK("c:\users\omer\rl-qecc-data\2026-07-09_08-21-01\postProcessing.png","plot")</f>
        <v/>
      </c>
      <c r="W28">
        <f>HYPERLINK("c:\users\omer\rl-qecc-data\2026-07-09_08-21-01\experiment.txt","experiment.txt")</f>
        <v/>
      </c>
    </row>
    <row r="29">
      <c r="H29" t="inlineStr">
        <is>
          <t>c:/users/omer/rl-qecc-data/2026-07-09_10-24-36</t>
        </is>
      </c>
      <c r="I29" t="n">
        <v>28</v>
      </c>
      <c r="N29" t="inlineStr">
        <is>
          <t>No</t>
        </is>
      </c>
      <c r="R29" t="n">
        <v>0.0001</v>
      </c>
      <c r="S29" t="inlineStr">
        <is>
          <t>Done</t>
        </is>
      </c>
      <c r="V29">
        <f>HYPERLINK("c:\users\omer\rl-qecc-data\2026-07-09_10-24-36\postProcessing.png","plot")</f>
        <v/>
      </c>
      <c r="W29">
        <f>HYPERLINK("c:\users\omer\rl-qecc-data\2026-07-09_10-24-36\experiment.txt","experiment.txt")</f>
        <v/>
      </c>
    </row>
    <row r="30">
      <c r="H30" t="inlineStr">
        <is>
          <t>c:/users/omer/rl-qecc-data/2026-07-09_10-47-08</t>
        </is>
      </c>
      <c r="I30" t="n">
        <v>64</v>
      </c>
      <c r="N30" t="inlineStr">
        <is>
          <t>No</t>
        </is>
      </c>
      <c r="R30" t="n">
        <v>0.0001</v>
      </c>
      <c r="S30" t="inlineStr">
        <is>
          <t>Done</t>
        </is>
      </c>
      <c r="V30">
        <f>HYPERLINK("c:\users\omer\rl-qecc-data\2026-07-09_10-47-08\postProcessing.png","plot")</f>
        <v/>
      </c>
      <c r="W30">
        <f>HYPERLINK("c:\users\omer\rl-qecc-data\2026-07-09_10-47-08\experiment.txt","experiment.txt")</f>
        <v/>
      </c>
    </row>
    <row r="31">
      <c r="H31" t="inlineStr">
        <is>
          <t>c:/users/omer/rl-qecc-data/2026-07-09_12-20-58</t>
        </is>
      </c>
      <c r="I31" t="n">
        <v>901201</v>
      </c>
      <c r="N31" t="inlineStr">
        <is>
          <t>No</t>
        </is>
      </c>
      <c r="R31" t="n">
        <v>0.0001</v>
      </c>
      <c r="S31" t="inlineStr">
        <is>
          <t>Done</t>
        </is>
      </c>
      <c r="V31">
        <f>HYPERLINK("c:\users\omer\rl-qecc-data\2026-07-09_12-20-58\postProcessing.png","plot")</f>
        <v/>
      </c>
      <c r="W31">
        <f>HYPERLINK("c:\users\omer\rl-qecc-data\2026-07-09_12-20-58\experiment.txt","experiment.txt")</f>
        <v/>
      </c>
    </row>
    <row r="32">
      <c r="H32" t="inlineStr">
        <is>
          <t>c:/users/omer/rl-qecc-data/2026-07-09_12-39-52</t>
        </is>
      </c>
      <c r="I32" t="n">
        <v>49846</v>
      </c>
      <c r="N32" t="inlineStr">
        <is>
          <t>No</t>
        </is>
      </c>
      <c r="R32" t="n">
        <v>0.0001</v>
      </c>
      <c r="S32" t="inlineStr">
        <is>
          <t>Done</t>
        </is>
      </c>
      <c r="V32">
        <f>HYPERLINK("c:\users\omer\rl-qecc-data\2026-07-09_12-39-52\postProcessing.png","plot")</f>
        <v/>
      </c>
      <c r="W32">
        <f>HYPERLINK("c:\users\omer\rl-qecc-data\2026-07-09_12-39-52\experiment.txt","experiment.txt")</f>
        <v/>
      </c>
    </row>
    <row r="33">
      <c r="H33" t="inlineStr">
        <is>
          <t>c:/users/omer/rl-qecc-data/2026-07-09_14-00-14</t>
        </is>
      </c>
      <c r="I33" t="n">
        <v>49846</v>
      </c>
      <c r="N33" t="inlineStr">
        <is>
          <t>No</t>
        </is>
      </c>
      <c r="R33" t="n">
        <v>0.0001</v>
      </c>
      <c r="S33" t="inlineStr">
        <is>
          <t>Done</t>
        </is>
      </c>
      <c r="V33">
        <f>HYPERLINK("c:\users\omer\rl-qecc-data\2026-07-09_14-00-14\postProcessing.png","plot")</f>
        <v/>
      </c>
      <c r="W33">
        <f>HYPERLINK("c:\users\omer\rl-qecc-data\2026-07-09_14-00-14\experiment.txt","experiment.txt")</f>
        <v/>
      </c>
    </row>
    <row r="34">
      <c r="H34" t="inlineStr">
        <is>
          <t>c:/users/omer/rl-qecc-data/2026-07-09_14-00-15</t>
        </is>
      </c>
      <c r="I34" t="n">
        <v>901201</v>
      </c>
      <c r="N34" t="inlineStr">
        <is>
          <t>No</t>
        </is>
      </c>
      <c r="R34" t="n">
        <v>0.0001</v>
      </c>
      <c r="S34" t="inlineStr">
        <is>
          <t>Done</t>
        </is>
      </c>
      <c r="V34">
        <f>HYPERLINK("c:\users\omer\rl-qecc-data\2026-07-09_14-00-15\postProcessing.png","plot")</f>
        <v/>
      </c>
      <c r="W34">
        <f>HYPERLINK("c:\users\omer\rl-qecc-data\2026-07-09_14-00-15\experiment.txt","experiment.txt")</f>
        <v/>
      </c>
    </row>
    <row r="35">
      <c r="H35" t="inlineStr">
        <is>
          <t>c:/users/omer/rl-qecc-data/2026-07-09_14-03-47</t>
        </is>
      </c>
      <c r="I35" t="n">
        <v>28</v>
      </c>
      <c r="N35" t="inlineStr">
        <is>
          <t>No</t>
        </is>
      </c>
      <c r="R35" t="n">
        <v>0.0001</v>
      </c>
      <c r="S35" t="inlineStr">
        <is>
          <t>Done</t>
        </is>
      </c>
      <c r="V35">
        <f>HYPERLINK("c:\users\omer\rl-qecc-data\2026-07-09_14-03-47\postProcessing.png","plot")</f>
        <v/>
      </c>
      <c r="W35">
        <f>HYPERLINK("c:\users\omer\rl-qecc-data\2026-07-09_14-03-47\experiment.txt","experiment.txt")</f>
        <v/>
      </c>
    </row>
    <row r="36">
      <c r="H36" t="inlineStr">
        <is>
          <t>c:/users/omer/rl-qecc-data/2026-07-09_14-07-04</t>
        </is>
      </c>
      <c r="I36" t="n">
        <v>121111</v>
      </c>
      <c r="N36" t="inlineStr">
        <is>
          <t>No</t>
        </is>
      </c>
      <c r="R36" t="n">
        <v>0.0001</v>
      </c>
      <c r="S36" t="inlineStr">
        <is>
          <t>Done</t>
        </is>
      </c>
      <c r="V36">
        <f>HYPERLINK("c:\users\omer\rl-qecc-data\2026-07-09_14-07-04\postProcessing.png","plot")</f>
        <v/>
      </c>
      <c r="W36">
        <f>HYPERLINK("c:\users\omer\rl-qecc-data\2026-07-09_14-07-04\experiment.txt","experiment.txt")</f>
        <v/>
      </c>
    </row>
    <row r="37">
      <c r="H37" t="inlineStr">
        <is>
          <t>c:/users/omer/rl-qecc-data/2026-07-09_14-16-50</t>
        </is>
      </c>
      <c r="I37" t="n">
        <v>2228</v>
      </c>
      <c r="N37" t="inlineStr">
        <is>
          <t>No</t>
        </is>
      </c>
      <c r="R37" t="n">
        <v>0.0001</v>
      </c>
      <c r="S37" t="inlineStr">
        <is>
          <t>Done</t>
        </is>
      </c>
      <c r="V37">
        <f>HYPERLINK("c:\users\omer\rl-qecc-data\2026-07-09_14-16-50\postProcessing.png","plot")</f>
        <v/>
      </c>
      <c r="W37">
        <f>HYPERLINK("c:\users\omer\rl-qecc-data\2026-07-09_14-16-50\experiment.txt","experiment.txt")</f>
        <v/>
      </c>
    </row>
    <row r="38">
      <c r="H38" t="inlineStr">
        <is>
          <t>c:/users/omer/rl-qecc-data/2026-07-09_14-28-52</t>
        </is>
      </c>
      <c r="I38" t="n">
        <v>49846</v>
      </c>
      <c r="N38" t="inlineStr">
        <is>
          <t>No</t>
        </is>
      </c>
      <c r="R38" t="n">
        <v>0.0001</v>
      </c>
      <c r="S38" t="inlineStr">
        <is>
          <t>Done</t>
        </is>
      </c>
      <c r="V38">
        <f>HYPERLINK("c:\users\omer\rl-qecc-data\2026-07-09_14-28-52\postProcessing.png","plot")</f>
        <v/>
      </c>
      <c r="W38">
        <f>HYPERLINK("c:\users\omer\rl-qecc-data\2026-07-09_14-28-52\experiment.txt","experiment.txt")</f>
        <v/>
      </c>
    </row>
    <row r="39">
      <c r="H39" t="inlineStr">
        <is>
          <t>c:/users/omer/rl-qecc-data/2026-07-09_16-51-56</t>
        </is>
      </c>
      <c r="I39" t="n">
        <v>49846</v>
      </c>
      <c r="N39" t="inlineStr">
        <is>
          <t>No</t>
        </is>
      </c>
      <c r="R39" t="n">
        <v>0.0001</v>
      </c>
      <c r="S39" t="inlineStr">
        <is>
          <t>Done</t>
        </is>
      </c>
      <c r="V39">
        <f>HYPERLINK("c:\users\omer\rl-qecc-data\2026-07-09_16-51-56\postProcessing.png","plot")</f>
        <v/>
      </c>
      <c r="W39">
        <f>HYPERLINK("c:\users\omer\rl-qecc-data\2026-07-09_16-51-56\experiment.txt","experiment.txt")</f>
        <v/>
      </c>
    </row>
    <row r="40">
      <c r="H40" t="inlineStr">
        <is>
          <t>c:/users/omer/rl-qecc-data/2026-07-09_20-35-27</t>
        </is>
      </c>
      <c r="I40" t="n">
        <v>121111</v>
      </c>
      <c r="N40" t="inlineStr">
        <is>
          <t>No</t>
        </is>
      </c>
      <c r="R40" t="n">
        <v>0.1</v>
      </c>
      <c r="S40" t="inlineStr">
        <is>
          <t>Done</t>
        </is>
      </c>
      <c r="V40">
        <f>HYPERLINK("c:\users\omer\rl-qecc-data\2026-07-09_20-35-27\postProcessing.png","plot")</f>
        <v/>
      </c>
      <c r="W40">
        <f>HYPERLINK("c:\users\omer\rl-qecc-data\2026-07-09_20-35-27\experiment.txt","experiment.txt")</f>
        <v/>
      </c>
    </row>
    <row r="41">
      <c r="H41" t="inlineStr">
        <is>
          <t>c:/users/omer/rl-qecc-data/2026-07-10_10-10-42</t>
        </is>
      </c>
      <c r="I41" t="n">
        <v>121111</v>
      </c>
      <c r="N41" t="inlineStr">
        <is>
          <t>No</t>
        </is>
      </c>
      <c r="R41" t="n">
        <v>0.3</v>
      </c>
      <c r="S41" t="inlineStr">
        <is>
          <t>Done</t>
        </is>
      </c>
      <c r="V41">
        <f>HYPERLINK("c:\users\omer\rl-qecc-data\2026-07-10_10-10-42\postProcessing.png","plot")</f>
        <v/>
      </c>
      <c r="W41">
        <f>HYPERLINK("c:\users\omer\rl-qecc-data\2026-07-10_10-10-42\experiment.txt","experiment.txt")</f>
        <v/>
      </c>
    </row>
    <row r="42">
      <c r="H42" t="inlineStr">
        <is>
          <t>c:/users/omer/rl-qecc-data/2026-07-10_10-13-17</t>
        </is>
      </c>
      <c r="I42" t="n">
        <v>2844864</v>
      </c>
      <c r="N42" t="inlineStr">
        <is>
          <t>No</t>
        </is>
      </c>
      <c r="R42" t="n">
        <v>0.0001</v>
      </c>
      <c r="S42" t="inlineStr">
        <is>
          <t>Done</t>
        </is>
      </c>
      <c r="V42">
        <f>HYPERLINK("c:\users\omer\rl-qecc-data\2026-07-10_10-13-17\postProcessing.png","plot")</f>
        <v/>
      </c>
      <c r="W42">
        <f>HYPERLINK("c:\users\omer\rl-qecc-data\2026-07-10_10-13-17\experiment.txt","experiment.txt")</f>
        <v/>
      </c>
    </row>
    <row r="43">
      <c r="H43" t="inlineStr">
        <is>
          <t>c:/users/omer/rl-qecc-data/2026-07-10_10-20-26</t>
        </is>
      </c>
      <c r="I43" t="n">
        <v>881211</v>
      </c>
      <c r="N43" t="inlineStr">
        <is>
          <t>No</t>
        </is>
      </c>
      <c r="R43" t="n">
        <v>0.1</v>
      </c>
      <c r="S43" t="inlineStr">
        <is>
          <t>Done</t>
        </is>
      </c>
      <c r="V43">
        <f>HYPERLINK("c:\users\omer\rl-qecc-data\2026-07-10_10-20-26\postProcessing.png","plot")</f>
        <v/>
      </c>
      <c r="W43">
        <f>HYPERLINK("c:\users\omer\rl-qecc-data\2026-07-10_10-20-26\experiment.txt","experiment.txt")</f>
        <v/>
      </c>
    </row>
    <row r="44">
      <c r="H44" t="inlineStr">
        <is>
          <t>c:/users/omer/rl-qecc-data/2026-07-10_10-22-11</t>
        </is>
      </c>
      <c r="I44" t="n">
        <v>32843338</v>
      </c>
      <c r="N44" t="inlineStr">
        <is>
          <t>No</t>
        </is>
      </c>
      <c r="R44" t="n">
        <v>0.0001</v>
      </c>
      <c r="S44" t="inlineStr">
        <is>
          <t>Done</t>
        </is>
      </c>
      <c r="V44">
        <f>HYPERLINK("c:\users\omer\rl-qecc-data\2026-07-10_10-22-11\postProcessing.png","plot")</f>
        <v/>
      </c>
      <c r="W44">
        <f>HYPERLINK("c:\users\omer\rl-qecc-data\2026-07-10_10-22-11\experiment.txt","experiment.txt")</f>
        <v/>
      </c>
    </row>
    <row r="45">
      <c r="H45" t="inlineStr">
        <is>
          <t>c:/users/omer/rl-qecc-data/2026-07-11_00-03-44</t>
        </is>
      </c>
      <c r="I45" t="n">
        <v>59</v>
      </c>
      <c r="J45" t="inlineStr">
        <is>
          <t>6,6</t>
        </is>
      </c>
      <c r="N45" t="inlineStr">
        <is>
          <t>No</t>
        </is>
      </c>
      <c r="R45" t="n">
        <v>0.3</v>
      </c>
      <c r="S45" t="inlineStr">
        <is>
          <t>Done</t>
        </is>
      </c>
      <c r="V45">
        <f>HYPERLINK("c:\users\omer\rl-qecc-data\2026-07-11_00-03-44\postProcessing.png","plot")</f>
        <v/>
      </c>
      <c r="W45">
        <f>HYPERLINK("c:\users\omer\rl-qecc-data\2026-07-11_00-03-44\experiment.txt","experiment.txt")</f>
        <v/>
      </c>
    </row>
    <row r="46">
      <c r="H46" t="inlineStr">
        <is>
          <t>c:/users/omer/rl-qecc-data/2026-07-11_11-34-52</t>
        </is>
      </c>
      <c r="I46" t="n">
        <v>1982</v>
      </c>
      <c r="J46" t="inlineStr">
        <is>
          <t>6,6</t>
        </is>
      </c>
      <c r="N46" t="inlineStr">
        <is>
          <t>No</t>
        </is>
      </c>
      <c r="R46" t="n">
        <v>0.001</v>
      </c>
      <c r="S46" t="inlineStr">
        <is>
          <t>Done</t>
        </is>
      </c>
      <c r="V46">
        <f>HYPERLINK("c:\users\omer\rl-qecc-data\2026-07-11_11-34-52\postProcessing.png","plot")</f>
        <v/>
      </c>
      <c r="W46">
        <f>HYPERLINK("c:\users\omer\rl-qecc-data\2026-07-11_11-34-52\experiment.txt","experiment.txt")</f>
        <v/>
      </c>
    </row>
    <row r="47">
      <c r="H47" t="inlineStr">
        <is>
          <t>c:/users/omer/rl-qecc-data/2026-07-11_13-03-32</t>
        </is>
      </c>
      <c r="I47" t="n">
        <v>9959898</v>
      </c>
      <c r="J47" t="inlineStr">
        <is>
          <t>12,6</t>
        </is>
      </c>
      <c r="N47" t="inlineStr">
        <is>
          <t>No</t>
        </is>
      </c>
      <c r="R47" t="n">
        <v>0.1</v>
      </c>
      <c r="S47" t="inlineStr">
        <is>
          <t>Done</t>
        </is>
      </c>
      <c r="V47">
        <f>HYPERLINK("c:\users\omer\rl-qecc-data\2026-07-11_13-03-32\postProcessing.png","plot")</f>
        <v/>
      </c>
      <c r="W47">
        <f>HYPERLINK("c:\users\omer\rl-qecc-data\2026-07-11_13-03-32\experiment.txt","experiment.txt")</f>
        <v/>
      </c>
    </row>
    <row r="48">
      <c r="H48" t="inlineStr">
        <is>
          <t>c:/users/omer/rl-qecc-data/2026-07-13_17-13-15</t>
        </is>
      </c>
      <c r="I48" t="n">
        <v>4601982</v>
      </c>
      <c r="J48" t="inlineStr">
        <is>
          <t>6,6</t>
        </is>
      </c>
      <c r="K48" t="n">
        <v>6</v>
      </c>
      <c r="M48" t="inlineStr">
        <is>
          <t>hybrid</t>
        </is>
      </c>
      <c r="N48" t="inlineStr">
        <is>
          <t>Yes</t>
        </is>
      </c>
      <c r="O48" t="n">
        <v>0.1</v>
      </c>
      <c r="P48" t="n">
        <v>10</v>
      </c>
      <c r="Q48" t="inlineStr">
        <is>
          <t>2026-07-12_20-18-32/surrogate_6x6.pth</t>
        </is>
      </c>
      <c r="R48" t="n">
        <v>0.001</v>
      </c>
      <c r="S48" t="inlineStr">
        <is>
          <t>Done</t>
        </is>
      </c>
      <c r="V48">
        <f>HYPERLINK("c:\users\omer\rl-qecc-data\2026-07-13_17-13-15\postProcessing.png","plot")</f>
        <v/>
      </c>
      <c r="W48">
        <f>HYPERLINK("c:\users\omer\rl-qecc-data\2026-07-13_17-13-15\experiment.txt","experiment.txt")</f>
        <v/>
      </c>
    </row>
    <row r="49">
      <c r="H49" t="inlineStr">
        <is>
          <t>c:/users/omer/rl-qecc-data/2026-07-13_17-13-58</t>
        </is>
      </c>
      <c r="I49" t="n">
        <v>1982</v>
      </c>
      <c r="J49" t="inlineStr">
        <is>
          <t>6,6</t>
        </is>
      </c>
      <c r="K49" t="n">
        <v>6</v>
      </c>
      <c r="M49" t="inlineStr">
        <is>
          <t>hybrid</t>
        </is>
      </c>
      <c r="N49" t="inlineStr">
        <is>
          <t>Yes</t>
        </is>
      </c>
      <c r="O49" t="n">
        <v>0.1</v>
      </c>
      <c r="P49" t="n">
        <v>10</v>
      </c>
      <c r="Q49" t="inlineStr">
        <is>
          <t>2026-07-12_20-18-32/surrogate_6x6.pth</t>
        </is>
      </c>
      <c r="R49" t="n">
        <v>0.001</v>
      </c>
      <c r="S49" t="inlineStr">
        <is>
          <t>Done</t>
        </is>
      </c>
      <c r="V49">
        <f>HYPERLINK("c:\users\omer\rl-qecc-data\2026-07-13_17-13-58\postProcessing.png","plot")</f>
        <v/>
      </c>
      <c r="W49">
        <f>HYPERLINK("c:\users\omer\rl-qecc-data\2026-07-13_17-13-58\experiment.txt","experiment.txt")</f>
        <v/>
      </c>
    </row>
    <row r="50">
      <c r="H50" t="inlineStr">
        <is>
          <t>c:/users/omer/rl-qecc-data/2026-07-13_19-41-04</t>
        </is>
      </c>
      <c r="I50" t="n">
        <v>1111111</v>
      </c>
      <c r="J50" t="inlineStr">
        <is>
          <t>6,6</t>
        </is>
      </c>
      <c r="K50" t="n">
        <v>6</v>
      </c>
      <c r="M50" t="inlineStr">
        <is>
          <t>hybrid</t>
        </is>
      </c>
      <c r="N50" t="inlineStr">
        <is>
          <t>Yes</t>
        </is>
      </c>
      <c r="O50" t="n">
        <v>0.1</v>
      </c>
      <c r="P50" t="n">
        <v>20</v>
      </c>
      <c r="Q50" t="inlineStr">
        <is>
          <t>2026-07-12_20-18-32/surrogate_6x6.pth</t>
        </is>
      </c>
      <c r="R50" t="n">
        <v>0.01</v>
      </c>
      <c r="S50" t="inlineStr">
        <is>
          <t>Done</t>
        </is>
      </c>
      <c r="V50">
        <f>HYPERLINK("c:\users\omer\rl-qecc-data\2026-07-13_19-41-04\postProcessing.png","plot")</f>
        <v/>
      </c>
      <c r="W50">
        <f>HYPERLINK("c:\users\omer\rl-qecc-data\2026-07-13_19-41-04\experiment.txt","experiment.txt")</f>
        <v/>
      </c>
    </row>
    <row r="51">
      <c r="H51" t="inlineStr">
        <is>
          <t>c:/users/omer/rl-qecc-data/2026-07-13_19-41-37</t>
        </is>
      </c>
      <c r="I51" t="n">
        <v>22222222</v>
      </c>
      <c r="J51" t="inlineStr">
        <is>
          <t>6,6</t>
        </is>
      </c>
      <c r="K51" t="n">
        <v>6</v>
      </c>
      <c r="M51" t="inlineStr">
        <is>
          <t>hybrid</t>
        </is>
      </c>
      <c r="N51" t="inlineStr">
        <is>
          <t>Yes</t>
        </is>
      </c>
      <c r="O51" t="n">
        <v>0.1</v>
      </c>
      <c r="P51" t="n">
        <v>20</v>
      </c>
      <c r="Q51" t="inlineStr">
        <is>
          <t>2026-07-12_20-18-32/surrogate_6x6.pth</t>
        </is>
      </c>
      <c r="R51" t="n">
        <v>0.01</v>
      </c>
      <c r="S51" t="inlineStr">
        <is>
          <t>Done</t>
        </is>
      </c>
      <c r="V51">
        <f>HYPERLINK("c:\users\omer\rl-qecc-data\2026-07-13_19-41-37\postProcessing.png","plot")</f>
        <v/>
      </c>
      <c r="W51">
        <f>HYPERLINK("c:\users\omer\rl-qecc-data\2026-07-13_19-41-37\experiment.txt","experiment.txt")</f>
        <v/>
      </c>
    </row>
    <row r="52">
      <c r="H52" t="inlineStr">
        <is>
          <t>c:/users/omer/rl-qecc-data/2026-07-13_19-43-03</t>
        </is>
      </c>
      <c r="I52" t="n">
        <v>777314159</v>
      </c>
      <c r="J52" t="inlineStr">
        <is>
          <t>6,6</t>
        </is>
      </c>
      <c r="K52" t="n">
        <v>6</v>
      </c>
      <c r="M52" t="inlineStr">
        <is>
          <t>hybrid</t>
        </is>
      </c>
      <c r="N52" t="inlineStr">
        <is>
          <t>Yes</t>
        </is>
      </c>
      <c r="O52" t="n">
        <v>0.1</v>
      </c>
      <c r="P52" t="n">
        <v>20</v>
      </c>
      <c r="Q52" t="inlineStr">
        <is>
          <t>2026-07-12_20-18-32/surrogate_6x6.pth</t>
        </is>
      </c>
      <c r="R52" t="n">
        <v>0.01</v>
      </c>
      <c r="S52" t="inlineStr">
        <is>
          <t>Done</t>
        </is>
      </c>
      <c r="V52">
        <f>HYPERLINK("c:\users\omer\rl-qecc-data\2026-07-13_19-43-03\postProcessing.png","plot")</f>
        <v/>
      </c>
      <c r="W52">
        <f>HYPERLINK("c:\users\omer\rl-qecc-data\2026-07-13_19-43-03\experiment.txt","experiment.txt")</f>
        <v/>
      </c>
    </row>
    <row r="53">
      <c r="H53" t="inlineStr">
        <is>
          <t>c:/users/omer/rl-qecc-data/2026-07-13_19-43-41</t>
        </is>
      </c>
      <c r="I53" t="n">
        <v>314159</v>
      </c>
      <c r="J53" t="inlineStr">
        <is>
          <t>6,6</t>
        </is>
      </c>
      <c r="K53" t="n">
        <v>6</v>
      </c>
      <c r="M53" t="inlineStr">
        <is>
          <t>hybrid</t>
        </is>
      </c>
      <c r="N53" t="inlineStr">
        <is>
          <t>Yes</t>
        </is>
      </c>
      <c r="O53" t="n">
        <v>0.1</v>
      </c>
      <c r="P53" t="n">
        <v>20</v>
      </c>
      <c r="Q53" t="inlineStr">
        <is>
          <t>2026-07-12_20-18-32/surrogate_6x6.pth</t>
        </is>
      </c>
      <c r="R53" t="n">
        <v>0.01</v>
      </c>
      <c r="S53" t="inlineStr">
        <is>
          <t>Done</t>
        </is>
      </c>
      <c r="V53">
        <f>HYPERLINK("c:\users\omer\rl-qecc-data\2026-07-13_19-43-41\postProcessing.png","plot")</f>
        <v/>
      </c>
      <c r="W53">
        <f>HYPERLINK("c:\users\omer\rl-qecc-data\2026-07-13_19-43-41\experiment.txt","experiment.txt")</f>
        <v/>
      </c>
    </row>
    <row r="54">
      <c r="H54" t="inlineStr">
        <is>
          <t>c:/users/omer/rl-qecc-data/2026-07-13_22-57-08</t>
        </is>
      </c>
      <c r="I54" t="n">
        <v>90110</v>
      </c>
      <c r="J54" t="inlineStr">
        <is>
          <t>6,6</t>
        </is>
      </c>
      <c r="K54" t="n">
        <v>6</v>
      </c>
      <c r="M54" t="inlineStr">
        <is>
          <t>hybrid</t>
        </is>
      </c>
      <c r="N54" t="inlineStr">
        <is>
          <t>Yes</t>
        </is>
      </c>
      <c r="O54" t="n">
        <v>0.1</v>
      </c>
      <c r="P54" t="n">
        <v>20</v>
      </c>
      <c r="Q54" t="inlineStr">
        <is>
          <t>2026-07-12_20-18-32/surrogate_6x6.pth</t>
        </is>
      </c>
      <c r="R54" t="n">
        <v>0.01</v>
      </c>
      <c r="S54" t="inlineStr">
        <is>
          <t>Done</t>
        </is>
      </c>
      <c r="V54">
        <f>HYPERLINK("c:\users\omer\rl-qecc-data\2026-07-13_22-57-08\postProcessing.png","plot")</f>
        <v/>
      </c>
      <c r="W54">
        <f>HYPERLINK("c:\users\omer\rl-qecc-data\2026-07-13_22-57-08\experiment.txt","experiment.txt")</f>
        <v/>
      </c>
    </row>
    <row r="55">
      <c r="H55" t="inlineStr">
        <is>
          <t>c:/users/omer/rl-qecc-data/2026-07-14_00-57-14</t>
        </is>
      </c>
      <c r="I55" t="n">
        <v>444</v>
      </c>
      <c r="J55" t="inlineStr">
        <is>
          <t>9,6</t>
        </is>
      </c>
      <c r="K55" t="n">
        <v>1</v>
      </c>
      <c r="M55" t="inlineStr">
        <is>
          <t>hybrid</t>
        </is>
      </c>
      <c r="N55" t="inlineStr">
        <is>
          <t>Yes</t>
        </is>
      </c>
      <c r="O55" t="n">
        <v>0.1</v>
      </c>
      <c r="P55" t="n">
        <v>20</v>
      </c>
      <c r="Q55" t="inlineStr">
        <is>
          <t>2026-07-12_20-18-32/surrogate_6x6.pth</t>
        </is>
      </c>
      <c r="R55" t="n">
        <v>0.3</v>
      </c>
      <c r="S55" t="inlineStr">
        <is>
          <t>Done</t>
        </is>
      </c>
      <c r="V55">
        <f>HYPERLINK("c:\users\omer\rl-qecc-data\2026-07-14_00-57-14\postProcessing.png","plot")</f>
        <v/>
      </c>
      <c r="W55">
        <f>HYPERLINK("c:\users\omer\rl-qecc-data\2026-07-14_00-57-14\experiment.txt","experiment.txt")</f>
        <v/>
      </c>
    </row>
    <row r="56">
      <c r="H56" t="inlineStr">
        <is>
          <t>c:/users/omer/rl-qecc-data/2026-07-14_01-00-13</t>
        </is>
      </c>
      <c r="I56" t="n">
        <v>8080</v>
      </c>
      <c r="J56" t="inlineStr">
        <is>
          <t>12,6</t>
        </is>
      </c>
      <c r="K56" t="n">
        <v>1</v>
      </c>
      <c r="M56" t="inlineStr">
        <is>
          <t>hybrid</t>
        </is>
      </c>
      <c r="N56" t="inlineStr">
        <is>
          <t>Yes</t>
        </is>
      </c>
      <c r="O56" t="n">
        <v>0.1</v>
      </c>
      <c r="P56" t="n">
        <v>1</v>
      </c>
      <c r="Q56" t="inlineStr">
        <is>
          <t>2026-07-12_20-18-32/surrogate_6x6.pth</t>
        </is>
      </c>
      <c r="R56" t="n">
        <v>0.3</v>
      </c>
      <c r="S56" t="inlineStr">
        <is>
          <t>Done</t>
        </is>
      </c>
      <c r="V56">
        <f>HYPERLINK("c:\users\omer\rl-qecc-data\2026-07-14_01-00-13\postProcessing.png","plot")</f>
        <v/>
      </c>
      <c r="W56">
        <f>HYPERLINK("c:\users\omer\rl-qecc-data\2026-07-14_01-00-13\experiment.txt","experiment.txt")</f>
        <v/>
      </c>
    </row>
    <row r="57">
      <c r="H57" t="inlineStr">
        <is>
          <t>c:/users/omer/rl-qecc-data/2026-07-14_21-41-33</t>
        </is>
      </c>
      <c r="I57" t="n">
        <v>2</v>
      </c>
      <c r="J57" t="inlineStr">
        <is>
          <t>9,6</t>
        </is>
      </c>
      <c r="K57" t="n">
        <v>8</v>
      </c>
      <c r="M57" t="inlineStr">
        <is>
          <t>hybrid</t>
        </is>
      </c>
      <c r="N57" t="inlineStr">
        <is>
          <t>Yes</t>
        </is>
      </c>
      <c r="O57" t="n">
        <v>0.1</v>
      </c>
      <c r="P57" t="n">
        <v>10</v>
      </c>
      <c r="Q57" t="inlineStr">
        <is>
          <t>2026-07-12_20-18-32/surrogate_6x6.pth</t>
        </is>
      </c>
      <c r="R57" t="n">
        <v>0.003</v>
      </c>
      <c r="S57" t="inlineStr">
        <is>
          <t>Done</t>
        </is>
      </c>
      <c r="V57">
        <f>HYPERLINK("c:\users\omer\rl-qecc-data\2026-07-14_21-41-33\postProcessing.png","plot")</f>
        <v/>
      </c>
      <c r="W57">
        <f>HYPERLINK("c:\users\omer\rl-qecc-data\2026-07-14_21-41-33\experiment.txt","experiment.txt")</f>
        <v/>
      </c>
    </row>
    <row r="58">
      <c r="H58" t="inlineStr">
        <is>
          <t>c:/users/omer/rl-qecc-data/2026-07-14_21-42-45</t>
        </is>
      </c>
      <c r="I58" t="n">
        <v>90210</v>
      </c>
      <c r="J58" t="inlineStr">
        <is>
          <t>9,6</t>
        </is>
      </c>
      <c r="K58" t="n">
        <v>8</v>
      </c>
      <c r="M58" t="inlineStr">
        <is>
          <t>hybrid</t>
        </is>
      </c>
      <c r="N58" t="inlineStr">
        <is>
          <t>Yes</t>
        </is>
      </c>
      <c r="O58" t="n">
        <v>0.1</v>
      </c>
      <c r="P58" t="n">
        <v>10</v>
      </c>
      <c r="Q58" t="inlineStr">
        <is>
          <t>2026-07-12_20-18-32/surrogate_6x6.pth</t>
        </is>
      </c>
      <c r="R58" t="n">
        <v>0.003</v>
      </c>
      <c r="S58" t="inlineStr">
        <is>
          <t>Done</t>
        </is>
      </c>
      <c r="V58">
        <f>HYPERLINK("c:\users\omer\rl-qecc-data\2026-07-14_21-42-45\postProcessing.png","plot")</f>
        <v/>
      </c>
      <c r="W58">
        <f>HYPERLINK("c:\users\omer\rl-qecc-data\2026-07-14_21-42-45\experiment.txt","experiment.txt")</f>
        <v/>
      </c>
    </row>
    <row r="59">
      <c r="H59" t="inlineStr">
        <is>
          <t>c:/users/omer/rl-qecc-data/2026-07-14_21-42-52</t>
        </is>
      </c>
      <c r="I59" t="n">
        <v>466555</v>
      </c>
      <c r="J59" t="inlineStr">
        <is>
          <t>9,6</t>
        </is>
      </c>
      <c r="K59" t="n">
        <v>8</v>
      </c>
      <c r="M59" t="inlineStr">
        <is>
          <t>hybrid</t>
        </is>
      </c>
      <c r="N59" t="inlineStr">
        <is>
          <t>Yes</t>
        </is>
      </c>
      <c r="O59" t="n">
        <v>0.1</v>
      </c>
      <c r="P59" t="n">
        <v>10</v>
      </c>
      <c r="Q59" t="inlineStr">
        <is>
          <t>2026-07-12_20-18-32/surrogate_6x6.pth</t>
        </is>
      </c>
      <c r="R59" t="n">
        <v>0.003</v>
      </c>
      <c r="S59" t="inlineStr">
        <is>
          <t>Done</t>
        </is>
      </c>
      <c r="V59">
        <f>HYPERLINK("c:\users\omer\rl-qecc-data\2026-07-14_21-42-52\postProcessing.png","plot")</f>
        <v/>
      </c>
      <c r="W59">
        <f>HYPERLINK("c:\users\omer\rl-qecc-data\2026-07-14_21-42-52\experiment.txt","experiment.txt")</f>
        <v/>
      </c>
    </row>
    <row r="60">
      <c r="H60" t="inlineStr">
        <is>
          <t>c:/users/omer/rl-qecc-data/2026-07-14_21-58-14</t>
        </is>
      </c>
      <c r="I60" t="n">
        <v>111</v>
      </c>
      <c r="J60" t="inlineStr">
        <is>
          <t>9,6</t>
        </is>
      </c>
      <c r="K60" t="n">
        <v>8</v>
      </c>
      <c r="M60" t="inlineStr">
        <is>
          <t>hybrid</t>
        </is>
      </c>
      <c r="N60" t="inlineStr">
        <is>
          <t>Yes</t>
        </is>
      </c>
      <c r="O60" t="n">
        <v>0.1</v>
      </c>
      <c r="P60" t="n">
        <v>20</v>
      </c>
      <c r="Q60" t="inlineStr">
        <is>
          <t>2026-07-12_20-18-32/surrogate_6x6.pth</t>
        </is>
      </c>
      <c r="R60" t="n">
        <v>0.003</v>
      </c>
      <c r="S60" t="inlineStr">
        <is>
          <t>Done</t>
        </is>
      </c>
      <c r="V60">
        <f>HYPERLINK("c:\users\omer\rl-qecc-data\2026-07-14_21-58-14\postProcessing.png","plot")</f>
        <v/>
      </c>
      <c r="W60">
        <f>HYPERLINK("c:\users\omer\rl-qecc-data\2026-07-14_21-58-14\experiment.txt","experiment.txt")</f>
        <v/>
      </c>
    </row>
    <row r="61">
      <c r="H61" t="inlineStr">
        <is>
          <t>c:/users/omer/rl-qecc-data/2026-07-14_22-01-03</t>
        </is>
      </c>
      <c r="I61" t="n">
        <v>232323</v>
      </c>
      <c r="J61" t="inlineStr">
        <is>
          <t>9,6</t>
        </is>
      </c>
      <c r="K61" t="n">
        <v>8</v>
      </c>
      <c r="M61" t="inlineStr">
        <is>
          <t>hybrid</t>
        </is>
      </c>
      <c r="N61" t="inlineStr">
        <is>
          <t>Yes</t>
        </is>
      </c>
      <c r="O61" t="n">
        <v>0.1</v>
      </c>
      <c r="P61" t="n">
        <v>20</v>
      </c>
      <c r="Q61" t="inlineStr">
        <is>
          <t>2026-07-12_20-18-32/surrogate_6x6.pth</t>
        </is>
      </c>
      <c r="R61" t="n">
        <v>0.003</v>
      </c>
      <c r="S61" t="inlineStr">
        <is>
          <t>Done</t>
        </is>
      </c>
      <c r="V61">
        <f>HYPERLINK("c:\users\omer\rl-qecc-data\2026-07-14_22-01-03\postProcessing.png","plot")</f>
        <v/>
      </c>
      <c r="W61">
        <f>HYPERLINK("c:\users\omer\rl-qecc-data\2026-07-14_22-01-03\experiment.txt","experiment.txt")</f>
        <v/>
      </c>
    </row>
    <row r="62">
      <c r="H62" t="inlineStr">
        <is>
          <t>c:/users/omer/rl-qecc-data/2026-07-14_23-23-00</t>
        </is>
      </c>
      <c r="I62" t="n">
        <v>123456</v>
      </c>
      <c r="J62" t="inlineStr">
        <is>
          <t>9,6</t>
        </is>
      </c>
      <c r="K62" t="n">
        <v>8</v>
      </c>
      <c r="M62" t="inlineStr">
        <is>
          <t>hybrid</t>
        </is>
      </c>
      <c r="N62" t="inlineStr">
        <is>
          <t>Yes</t>
        </is>
      </c>
      <c r="O62" t="n">
        <v>0.1</v>
      </c>
      <c r="P62" t="n">
        <v>20</v>
      </c>
      <c r="Q62" t="inlineStr">
        <is>
          <t>2026-07-12_21-15-58/surrogate_6x6.pth</t>
        </is>
      </c>
      <c r="R62" t="n">
        <v>0.003</v>
      </c>
      <c r="S62" t="inlineStr">
        <is>
          <t>Done</t>
        </is>
      </c>
      <c r="V62">
        <f>HYPERLINK("c:\users\omer\rl-qecc-data\2026-07-14_23-23-00\postProcessing.png","plot")</f>
        <v/>
      </c>
      <c r="W62">
        <f>HYPERLINK("c:\users\omer\rl-qecc-data\2026-07-14_23-23-00\experiment.txt","experiment.txt")</f>
        <v/>
      </c>
    </row>
    <row r="63">
      <c r="H63" t="inlineStr">
        <is>
          <t>c:/users/omer/rl-qecc-data/2026-07-15_06-24-42</t>
        </is>
      </c>
      <c r="I63" t="n">
        <v>460101</v>
      </c>
      <c r="J63" t="inlineStr">
        <is>
          <t>9,6</t>
        </is>
      </c>
      <c r="K63" t="n">
        <v>8</v>
      </c>
      <c r="M63" t="inlineStr">
        <is>
          <t>hybrid</t>
        </is>
      </c>
      <c r="N63" t="inlineStr">
        <is>
          <t>Yes</t>
        </is>
      </c>
      <c r="O63" t="n">
        <v>0.1</v>
      </c>
      <c r="P63" t="n">
        <v>10</v>
      </c>
      <c r="Q63" t="inlineStr">
        <is>
          <t>2026-07-12_20-18-32/surrogate_6x6.pth</t>
        </is>
      </c>
      <c r="R63" t="n">
        <v>0.003</v>
      </c>
      <c r="S63" t="inlineStr">
        <is>
          <t>Done</t>
        </is>
      </c>
      <c r="V63">
        <f>HYPERLINK("c:\users\omer\rl-qecc-data\2026-07-15_06-24-42\postProcessing.png","plot")</f>
        <v/>
      </c>
      <c r="W63">
        <f>HYPERLINK("c:\users\omer\rl-qecc-data\2026-07-15_06-24-42\experiment.txt","experiment.txt")</f>
        <v/>
      </c>
    </row>
    <row r="64">
      <c r="H64" t="inlineStr">
        <is>
          <t>c:/users/omer/rl-qecc-data/2026-07-15_07-12-39</t>
        </is>
      </c>
      <c r="I64" t="n">
        <v>460101</v>
      </c>
      <c r="J64" t="inlineStr">
        <is>
          <t>9,6</t>
        </is>
      </c>
      <c r="K64" t="n">
        <v>8</v>
      </c>
      <c r="M64" t="inlineStr">
        <is>
          <t>hybrid</t>
        </is>
      </c>
      <c r="N64" t="inlineStr">
        <is>
          <t>Yes</t>
        </is>
      </c>
      <c r="O64" t="n">
        <v>0.1</v>
      </c>
      <c r="P64" t="n">
        <v>10</v>
      </c>
      <c r="Q64" t="inlineStr">
        <is>
          <t>2026-07-12_21-15-58/surrogate_6x6.pth</t>
        </is>
      </c>
      <c r="R64" t="n">
        <v>0.003</v>
      </c>
      <c r="S64" t="inlineStr">
        <is>
          <t>Done</t>
        </is>
      </c>
      <c r="V64">
        <f>HYPERLINK("c:\users\omer\rl-qecc-data\2026-07-15_07-12-39\postProcessing.png","plot")</f>
        <v/>
      </c>
      <c r="W64">
        <f>HYPERLINK("c:\users\omer\rl-qecc-data\2026-07-15_07-12-39\experiment.txt","experiment.txt")</f>
        <v/>
      </c>
    </row>
    <row r="65">
      <c r="H65" t="inlineStr">
        <is>
          <t>c:/users/omer/rl-qecc-data/2026-07-15_13-49-55</t>
        </is>
      </c>
      <c r="I65" t="n">
        <v>232323</v>
      </c>
      <c r="J65" t="inlineStr">
        <is>
          <t>9,6</t>
        </is>
      </c>
      <c r="K65" t="n">
        <v>8</v>
      </c>
      <c r="M65" t="inlineStr">
        <is>
          <t>hybrid</t>
        </is>
      </c>
      <c r="N65" t="inlineStr">
        <is>
          <t>Yes</t>
        </is>
      </c>
      <c r="O65" t="n">
        <v>0.1</v>
      </c>
      <c r="P65" t="n">
        <v>10</v>
      </c>
      <c r="Q65" t="inlineStr">
        <is>
          <t>2026-07-12_21-15-58/surrogate_6x6.pth</t>
        </is>
      </c>
      <c r="R65" t="n">
        <v>0.003</v>
      </c>
      <c r="S65" t="inlineStr">
        <is>
          <t>Done</t>
        </is>
      </c>
      <c r="V65">
        <f>HYPERLINK("c:\users\omer\rl-qecc-data\2026-07-15_13-49-55\postProcessing.png","plot")</f>
        <v/>
      </c>
      <c r="W65">
        <f>HYPERLINK("c:\users\omer\rl-qecc-data\2026-07-15_13-49-55\experiment.txt","experiment.txt")</f>
        <v/>
      </c>
    </row>
    <row r="66">
      <c r="H66" t="inlineStr">
        <is>
          <t>c:/users/omer/rl-qecc-data/2026-07-15_14-55-03_3158085</t>
        </is>
      </c>
      <c r="I66" t="n">
        <v>460101</v>
      </c>
      <c r="J66" t="inlineStr">
        <is>
          <t>9,6</t>
        </is>
      </c>
      <c r="K66" t="n">
        <v>8</v>
      </c>
      <c r="M66" t="inlineStr">
        <is>
          <t>hybrid</t>
        </is>
      </c>
      <c r="N66" t="inlineStr">
        <is>
          <t>Yes</t>
        </is>
      </c>
      <c r="O66" t="n">
        <v>0.1</v>
      </c>
      <c r="P66" t="n">
        <v>20</v>
      </c>
      <c r="Q66" t="inlineStr">
        <is>
          <t>2026-07-12_10-56-04/surrogate_6x6.pth</t>
        </is>
      </c>
      <c r="R66" t="n">
        <v>0.003</v>
      </c>
      <c r="S66" t="inlineStr">
        <is>
          <t>Done</t>
        </is>
      </c>
      <c r="V66">
        <f>HYPERLINK("c:\users\omer\rl-qecc-data\2026-07-15_14-55-03_3158085\postProcessing.png","plot")</f>
        <v/>
      </c>
      <c r="W66">
        <f>HYPERLINK("c:\users\omer\rl-qecc-data\2026-07-15_14-55-03_3158085\experiment.txt","experiment.txt")</f>
        <v/>
      </c>
    </row>
    <row r="67">
      <c r="H67" t="inlineStr">
        <is>
          <t>c:/users/omer/rl-qecc-data/2026-07-15_15-19-50_184940</t>
        </is>
      </c>
      <c r="I67" t="n">
        <v>111</v>
      </c>
      <c r="J67" t="inlineStr">
        <is>
          <t>9,6</t>
        </is>
      </c>
      <c r="K67" t="n">
        <v>8</v>
      </c>
      <c r="M67" t="inlineStr">
        <is>
          <t>hybrid</t>
        </is>
      </c>
      <c r="N67" t="inlineStr">
        <is>
          <t>Yes</t>
        </is>
      </c>
      <c r="O67" t="n">
        <v>0.1</v>
      </c>
      <c r="P67" t="n">
        <v>10</v>
      </c>
      <c r="Q67" t="inlineStr">
        <is>
          <t>2026-07-12_21-15-58/surrogate_6x6.pth</t>
        </is>
      </c>
      <c r="R67" t="n">
        <v>0.003</v>
      </c>
      <c r="S67" t="inlineStr">
        <is>
          <t>Done</t>
        </is>
      </c>
      <c r="V67">
        <f>HYPERLINK("c:\users\omer\rl-qecc-data\2026-07-15_15-19-50_184940\postProcessing.png","plot")</f>
        <v/>
      </c>
      <c r="W67">
        <f>HYPERLINK("c:\users\omer\rl-qecc-data\2026-07-15_15-19-50_184940\experiment.txt","experiment.txt")</f>
        <v/>
      </c>
    </row>
    <row r="68">
      <c r="H68" t="inlineStr">
        <is>
          <t>c:/users/omer/rl-qecc-data/2026-07-15_15-53-06_3953074</t>
        </is>
      </c>
      <c r="I68" t="n">
        <v>2</v>
      </c>
      <c r="J68" t="inlineStr">
        <is>
          <t>9,6</t>
        </is>
      </c>
      <c r="K68" t="n">
        <v>8</v>
      </c>
      <c r="M68" t="inlineStr">
        <is>
          <t>hybrid</t>
        </is>
      </c>
      <c r="N68" t="inlineStr">
        <is>
          <t>Yes</t>
        </is>
      </c>
      <c r="O68" t="n">
        <v>0.1</v>
      </c>
      <c r="P68" t="n">
        <v>10</v>
      </c>
      <c r="Q68" t="inlineStr">
        <is>
          <t>2026-07-12_21-15-58/surrogate_6x6.pth</t>
        </is>
      </c>
      <c r="R68" t="n">
        <v>0.003</v>
      </c>
      <c r="S68" t="inlineStr">
        <is>
          <t>Done</t>
        </is>
      </c>
      <c r="V68">
        <f>HYPERLINK("c:\users\omer\rl-qecc-data\2026-07-15_15-53-06_3953074\postProcessing.png","plot")</f>
        <v/>
      </c>
      <c r="W68">
        <f>HYPERLINK("c:\users\omer\rl-qecc-data\2026-07-15_15-53-06_3953074\experiment.txt","experiment.txt")</f>
        <v/>
      </c>
    </row>
    <row r="69">
      <c r="H69" t="inlineStr">
        <is>
          <t>c:/users/omer/rl-qecc-data/2026-07-15_20-20-03_3795808</t>
        </is>
      </c>
      <c r="I69" t="n">
        <v>232323</v>
      </c>
      <c r="J69" t="inlineStr">
        <is>
          <t>15,3</t>
        </is>
      </c>
      <c r="K69" t="n">
        <v>8</v>
      </c>
      <c r="M69" t="inlineStr">
        <is>
          <t>hybrid</t>
        </is>
      </c>
      <c r="N69" t="inlineStr">
        <is>
          <t>Yes</t>
        </is>
      </c>
      <c r="O69" t="n">
        <v>1</v>
      </c>
      <c r="P69" t="n">
        <v>0</v>
      </c>
      <c r="Q69" t="inlineStr">
        <is>
          <t>2026-07-12_21-15-58/surrogate_6x6.pth</t>
        </is>
      </c>
      <c r="R69" t="n">
        <v>0.003</v>
      </c>
      <c r="S69" t="inlineStr">
        <is>
          <t>Done</t>
        </is>
      </c>
      <c r="V69">
        <f>HYPERLINK("c:\users\omer\rl-qecc-data\2026-07-15_20-20-03_3795808\postProcessing.png","plot")</f>
        <v/>
      </c>
      <c r="W69">
        <f>HYPERLINK("c:\users\omer\rl-qecc-data\2026-07-15_20-20-03_3795808\experiment.txt","experiment.txt")</f>
        <v/>
      </c>
    </row>
    <row r="70">
      <c r="H70" t="inlineStr">
        <is>
          <t>c:/users/omer/rl-qecc-data/2026-07-15_22-42-29_3273591</t>
        </is>
      </c>
      <c r="I70" t="n">
        <v>2</v>
      </c>
      <c r="J70" t="inlineStr">
        <is>
          <t>15,3</t>
        </is>
      </c>
      <c r="K70" t="n">
        <v>10</v>
      </c>
      <c r="M70" t="inlineStr">
        <is>
          <t>hybrid</t>
        </is>
      </c>
      <c r="N70" t="inlineStr">
        <is>
          <t>Yes</t>
        </is>
      </c>
      <c r="O70" t="n">
        <v>0.1</v>
      </c>
      <c r="P70" t="n">
        <v>10</v>
      </c>
      <c r="Q70" t="inlineStr">
        <is>
          <t>2026-07-12_21-15-58/surrogate_6x6.pth</t>
        </is>
      </c>
      <c r="R70" t="n">
        <v>0.003</v>
      </c>
      <c r="S70" t="inlineStr">
        <is>
          <t>Done</t>
        </is>
      </c>
      <c r="V70">
        <f>HYPERLINK("c:\users\omer\rl-qecc-data\2026-07-15_22-42-29_3273591\postProcessing.png","plot")</f>
        <v/>
      </c>
      <c r="W70">
        <f>HYPERLINK("c:\users\omer\rl-qecc-data\2026-07-15_22-42-29_3273591\experiment.txt","experiment.txt")</f>
        <v/>
      </c>
    </row>
    <row r="71">
      <c r="H71" t="inlineStr">
        <is>
          <t>c:/users/omer/rl-qecc-data/2026-07-15_23-52-37_217901</t>
        </is>
      </c>
      <c r="I71" t="n">
        <v>232323</v>
      </c>
      <c r="J71" t="inlineStr">
        <is>
          <t>15,3</t>
        </is>
      </c>
      <c r="K71" t="n">
        <v>10</v>
      </c>
      <c r="M71" t="inlineStr">
        <is>
          <t>hybrid</t>
        </is>
      </c>
      <c r="N71" t="inlineStr">
        <is>
          <t>Yes</t>
        </is>
      </c>
      <c r="O71" t="n">
        <v>0.1</v>
      </c>
      <c r="P71" t="n">
        <v>10</v>
      </c>
      <c r="Q71" t="inlineStr">
        <is>
          <t>2026-07-12_21-15-58/surrogate_6x6.pth</t>
        </is>
      </c>
      <c r="R71" t="n">
        <v>0.003</v>
      </c>
      <c r="S71" t="inlineStr">
        <is>
          <t>Done</t>
        </is>
      </c>
      <c r="V71">
        <f>HYPERLINK("c:\users\omer\rl-qecc-data\2026-07-15_23-52-37_217901\postProcessing.png","plot")</f>
        <v/>
      </c>
      <c r="W71">
        <f>HYPERLINK("c:\users\omer\rl-qecc-data\2026-07-15_23-52-37_217901\experiment.txt","experiment.txt")</f>
        <v/>
      </c>
    </row>
    <row r="72">
      <c r="H72" t="inlineStr">
        <is>
          <t>c:/users/omer/rl-qecc-data/2026-07-16_00-29-11_3987924</t>
        </is>
      </c>
      <c r="I72" t="n">
        <v>123456</v>
      </c>
      <c r="J72" t="inlineStr">
        <is>
          <t>9,6</t>
        </is>
      </c>
      <c r="K72" t="n">
        <v>8</v>
      </c>
      <c r="M72" t="inlineStr">
        <is>
          <t>hybrid</t>
        </is>
      </c>
      <c r="N72" t="inlineStr">
        <is>
          <t>Yes</t>
        </is>
      </c>
      <c r="O72" t="n">
        <v>1</v>
      </c>
      <c r="P72" t="n">
        <v>0</v>
      </c>
      <c r="Q72" t="inlineStr">
        <is>
          <t>2026-07-12_21-15-58/surrogate_6x6.pth</t>
        </is>
      </c>
      <c r="R72" t="n">
        <v>0.003</v>
      </c>
      <c r="S72" t="inlineStr">
        <is>
          <t>Done</t>
        </is>
      </c>
      <c r="V72">
        <f>HYPERLINK("c:\users\omer\rl-qecc-data\2026-07-16_00-29-11_3987924\postProcessing.png","plot")</f>
        <v/>
      </c>
      <c r="W72">
        <f>HYPERLINK("c:\users\omer\rl-qecc-data\2026-07-16_00-29-11_3987924\experiment.txt","experiment.txt")</f>
        <v/>
      </c>
    </row>
    <row r="73">
      <c r="H73" t="inlineStr">
        <is>
          <t>c:/users/omer/rl-qecc-data/2026-07-16_04-37-43_3843084</t>
        </is>
      </c>
      <c r="I73" t="n">
        <v>99999</v>
      </c>
      <c r="J73" t="inlineStr">
        <is>
          <t>15,3</t>
        </is>
      </c>
      <c r="K73" t="n">
        <v>8</v>
      </c>
      <c r="M73" t="inlineStr">
        <is>
          <t>hybrid</t>
        </is>
      </c>
      <c r="N73" t="inlineStr">
        <is>
          <t>Yes</t>
        </is>
      </c>
      <c r="O73" t="n">
        <v>1</v>
      </c>
      <c r="P73" t="n">
        <v>0</v>
      </c>
      <c r="Q73" t="inlineStr">
        <is>
          <t>2026-07-12_21-15-58/surrogate_6x6.pth</t>
        </is>
      </c>
      <c r="R73" t="n">
        <v>0.003</v>
      </c>
      <c r="S73" t="inlineStr">
        <is>
          <t>Done</t>
        </is>
      </c>
      <c r="V73">
        <f>HYPERLINK("c:\users\omer\rl-qecc-data\2026-07-16_04-37-43_3843084\postProcessing.png","plot")</f>
        <v/>
      </c>
      <c r="W73">
        <f>HYPERLINK("c:\users\omer\rl-qecc-data\2026-07-16_04-37-43_3843084\experiment.txt","experiment.txt")</f>
        <v/>
      </c>
    </row>
    <row r="74">
      <c r="H74" t="inlineStr">
        <is>
          <t>c:/users/omer/rl-qecc-data/2026-07-16_07-19-26_3308483</t>
        </is>
      </c>
      <c r="I74" t="n">
        <v>90210</v>
      </c>
      <c r="J74" t="inlineStr">
        <is>
          <t>9,6</t>
        </is>
      </c>
      <c r="K74" t="n">
        <v>8</v>
      </c>
      <c r="M74" t="inlineStr">
        <is>
          <t>hybrid</t>
        </is>
      </c>
      <c r="N74" t="inlineStr">
        <is>
          <t>Yes</t>
        </is>
      </c>
      <c r="O74" t="n">
        <v>1</v>
      </c>
      <c r="P74" t="n">
        <v>0</v>
      </c>
      <c r="Q74" t="inlineStr">
        <is>
          <t>2026-07-12_21-15-58/surrogate_6x6.pth</t>
        </is>
      </c>
      <c r="R74" t="n">
        <v>0.003</v>
      </c>
      <c r="S74" t="inlineStr">
        <is>
          <t>Done</t>
        </is>
      </c>
      <c r="V74">
        <f>HYPERLINK("c:\users\omer\rl-qecc-data\2026-07-16_07-19-26_3308483\postProcessing.png","plot")</f>
        <v/>
      </c>
      <c r="W74">
        <f>HYPERLINK("c:\users\omer\rl-qecc-data\2026-07-16_07-19-26_3308483\experiment.txt","experiment.txt")</f>
        <v/>
      </c>
    </row>
    <row r="75">
      <c r="H75" t="inlineStr">
        <is>
          <t>c:/users/omer/rl-qecc-data/2026-07-16_08-19-58_252676</t>
        </is>
      </c>
      <c r="I75" t="n">
        <v>466555</v>
      </c>
      <c r="J75" t="inlineStr">
        <is>
          <t>9,6</t>
        </is>
      </c>
      <c r="K75" t="n">
        <v>8</v>
      </c>
      <c r="M75" t="inlineStr">
        <is>
          <t>hybrid</t>
        </is>
      </c>
      <c r="N75" t="inlineStr">
        <is>
          <t>Yes</t>
        </is>
      </c>
      <c r="O75" t="n">
        <v>1</v>
      </c>
      <c r="P75" t="n">
        <v>0</v>
      </c>
      <c r="Q75" t="inlineStr">
        <is>
          <t>2026-07-12_21-15-58/surrogate_6x6.pth</t>
        </is>
      </c>
      <c r="R75" t="n">
        <v>0.003</v>
      </c>
      <c r="S75" t="inlineStr">
        <is>
          <t>Done</t>
        </is>
      </c>
      <c r="V75">
        <f>HYPERLINK("c:\users\omer\rl-qecc-data\2026-07-16_08-19-58_252676\postProcessing.png","plot")</f>
        <v/>
      </c>
      <c r="W75">
        <f>HYPERLINK("c:\users\omer\rl-qecc-data\2026-07-16_08-19-58_252676\experiment.txt","experiment.txt")</f>
        <v/>
      </c>
    </row>
    <row r="76">
      <c r="H76" t="inlineStr">
        <is>
          <t>c:/users/omer/rl-qecc-data/2026-07-16_09-14-26_4022547</t>
        </is>
      </c>
      <c r="I76" t="n">
        <v>101010</v>
      </c>
      <c r="J76" t="inlineStr">
        <is>
          <t>9,6</t>
        </is>
      </c>
      <c r="K76" t="n">
        <v>8</v>
      </c>
      <c r="M76" t="inlineStr">
        <is>
          <t>hybrid</t>
        </is>
      </c>
      <c r="N76" t="inlineStr">
        <is>
          <t>Yes</t>
        </is>
      </c>
      <c r="O76" t="n">
        <v>1</v>
      </c>
      <c r="P76" t="n">
        <v>0</v>
      </c>
      <c r="Q76" t="inlineStr">
        <is>
          <t>2026-07-12_21-15-58/surrogate_6x6.pth</t>
        </is>
      </c>
      <c r="R76" t="n">
        <v>0.003</v>
      </c>
      <c r="S76" t="inlineStr">
        <is>
          <t>Done</t>
        </is>
      </c>
      <c r="V76">
        <f>HYPERLINK("c:\users\omer\rl-qecc-data\2026-07-16_09-14-26_4022547\postProcessing.png","plot")</f>
        <v/>
      </c>
      <c r="W76">
        <f>HYPERLINK("c:\users\omer\rl-qecc-data\2026-07-16_09-14-26_4022547\experiment.txt","experiment.txt")</f>
        <v/>
      </c>
    </row>
    <row r="77">
      <c r="H77" t="inlineStr">
        <is>
          <t>c:/users/omer/rl-qecc-data/2026-07-16_17-17-14_3346485</t>
        </is>
      </c>
      <c r="I77" t="n">
        <v>101010</v>
      </c>
      <c r="J77" t="inlineStr">
        <is>
          <t>9,6</t>
        </is>
      </c>
      <c r="K77" t="n">
        <v>8</v>
      </c>
      <c r="M77" t="inlineStr">
        <is>
          <t>hybrid</t>
        </is>
      </c>
      <c r="N77" t="inlineStr">
        <is>
          <t>Yes</t>
        </is>
      </c>
      <c r="O77" t="n">
        <v>0.1</v>
      </c>
      <c r="P77" t="n">
        <v>50</v>
      </c>
      <c r="Q77" t="inlineStr">
        <is>
          <t>2026-07-12_21-15-58/surrogate_6x6.pth</t>
        </is>
      </c>
      <c r="R77" t="n">
        <v>0.003</v>
      </c>
      <c r="S77" t="inlineStr">
        <is>
          <t>Done</t>
        </is>
      </c>
      <c r="V77">
        <f>HYPERLINK("c:\users\omer\rl-qecc-data\2026-07-16_17-17-14_3346485\postProcessing.png","plot")</f>
        <v/>
      </c>
      <c r="W77">
        <f>HYPERLINK("c:\users\omer\rl-qecc-data\2026-07-16_17-17-14_3346485\experiment.txt","experiment.txt")</f>
        <v/>
      </c>
    </row>
    <row r="78">
      <c r="H78" t="inlineStr">
        <is>
          <t>c:/users/omer/rl-qecc-data/2026-07-16_17-31-22_288767</t>
        </is>
      </c>
      <c r="I78" t="n">
        <v>111</v>
      </c>
      <c r="J78" t="inlineStr">
        <is>
          <t>9,6</t>
        </is>
      </c>
      <c r="K78" t="n">
        <v>8</v>
      </c>
      <c r="M78" t="inlineStr">
        <is>
          <t>hybrid</t>
        </is>
      </c>
      <c r="N78" t="inlineStr">
        <is>
          <t>Yes</t>
        </is>
      </c>
      <c r="O78" t="n">
        <v>0.1</v>
      </c>
      <c r="P78" t="n">
        <v>50</v>
      </c>
      <c r="Q78" t="inlineStr">
        <is>
          <t>2026-07-12_21-15-58/surrogate_6x6.pth</t>
        </is>
      </c>
      <c r="R78" t="n">
        <v>0.003</v>
      </c>
      <c r="S78" t="inlineStr">
        <is>
          <t>Done</t>
        </is>
      </c>
      <c r="V78">
        <f>HYPERLINK("c:\users\omer\rl-qecc-data\2026-07-16_17-31-22_288767\postProcessing.png","plot")</f>
        <v/>
      </c>
      <c r="W78">
        <f>HYPERLINK("c:\users\omer\rl-qecc-data\2026-07-16_17-31-22_288767\experiment.txt","experiment.txt")</f>
        <v/>
      </c>
    </row>
    <row r="79">
      <c r="H79" t="inlineStr">
        <is>
          <t>c:/users/omer/rl-qecc-data/2026-07-22_14-57-19_253968</t>
        </is>
      </c>
      <c r="I79" t="n">
        <v>22222222</v>
      </c>
      <c r="J79" t="inlineStr">
        <is>
          <t>6,6</t>
        </is>
      </c>
      <c r="K79" t="n">
        <v>6</v>
      </c>
      <c r="M79" t="inlineStr">
        <is>
          <t>hybrid</t>
        </is>
      </c>
      <c r="N79" t="inlineStr">
        <is>
          <t>Yes</t>
        </is>
      </c>
      <c r="O79" t="n">
        <v>0.1</v>
      </c>
      <c r="P79" t="n">
        <v>20</v>
      </c>
      <c r="Q79" t="inlineStr">
        <is>
          <t>2026-07-12_20-18-32/surrogate_6x6.pth</t>
        </is>
      </c>
      <c r="R79" t="n">
        <v>0.01</v>
      </c>
      <c r="S79" t="inlineStr">
        <is>
          <t>Done</t>
        </is>
      </c>
      <c r="V79">
        <f>HYPERLINK("c:\users\omer\rl-qecc-data\2026-07-22_14-57-19_253968\postProcessing.png","plot")</f>
        <v/>
      </c>
      <c r="W79">
        <f>HYPERLINK("c:\users\omer\rl-qecc-data\2026-07-22_14-57-19_253968\experiment.txt","experiment.txt")</f>
        <v/>
      </c>
    </row>
    <row r="80">
      <c r="H80" t="inlineStr">
        <is>
          <t>c:/users/omer/rl-qecc-data/2026-07-22_14-57-19_681200</t>
        </is>
      </c>
      <c r="I80" t="n">
        <v>90110</v>
      </c>
      <c r="J80" t="inlineStr">
        <is>
          <t>6,6</t>
        </is>
      </c>
      <c r="K80" t="n">
        <v>6</v>
      </c>
      <c r="M80" t="inlineStr">
        <is>
          <t>hybrid</t>
        </is>
      </c>
      <c r="N80" t="inlineStr">
        <is>
          <t>Yes</t>
        </is>
      </c>
      <c r="O80" t="n">
        <v>0.1</v>
      </c>
      <c r="P80" t="n">
        <v>20</v>
      </c>
      <c r="Q80" t="inlineStr">
        <is>
          <t>2026-07-12_20-18-32/surrogate_6x6.pth</t>
        </is>
      </c>
      <c r="R80" t="n">
        <v>0.01</v>
      </c>
      <c r="S80" t="inlineStr">
        <is>
          <t>Done</t>
        </is>
      </c>
      <c r="V80">
        <f>HYPERLINK("c:\users\omer\rl-qecc-data\2026-07-22_14-57-19_681200\postProcessing.png","plot")</f>
        <v/>
      </c>
      <c r="W80">
        <f>HYPERLINK("c:\users\omer\rl-qecc-data\2026-07-22_14-57-19_681200\experiment.txt","experiment.txt")</f>
        <v/>
      </c>
    </row>
    <row r="81">
      <c r="H81" t="inlineStr">
        <is>
          <t>c:/users/omer/rl-qecc-data/2026-07-22_19-18-43_3744902</t>
        </is>
      </c>
      <c r="I81" t="n">
        <v>1001</v>
      </c>
      <c r="J81" t="inlineStr">
        <is>
          <t>6,6</t>
        </is>
      </c>
      <c r="K81" t="n">
        <v>12</v>
      </c>
      <c r="M81" t="inlineStr">
        <is>
          <t>hybrid</t>
        </is>
      </c>
      <c r="N81" t="inlineStr">
        <is>
          <t>Yes</t>
        </is>
      </c>
      <c r="O81" t="n">
        <v>0.1</v>
      </c>
      <c r="P81" t="n">
        <v>0</v>
      </c>
      <c r="Q81" t="inlineStr">
        <is>
          <t>2026-07-12_21-15-58/surrogate_6x6.pth</t>
        </is>
      </c>
      <c r="R81" t="n">
        <v>0.003</v>
      </c>
      <c r="S81" t="inlineStr">
        <is>
          <t>Done</t>
        </is>
      </c>
      <c r="V81">
        <f>HYPERLINK("c:\users\omer\rl-qecc-data\2026-07-22_19-18-43_3744902\postProcessing.png","plot")</f>
        <v/>
      </c>
      <c r="W81">
        <f>HYPERLINK("c:\users\omer\rl-qecc-data\2026-07-22_19-18-43_3744902\experiment.txt","experiment.txt")</f>
        <v/>
      </c>
    </row>
    <row r="82">
      <c r="H82" t="inlineStr">
        <is>
          <t>c:/users/omer/rl-qecc-data/2026-07-22_19-18-43_3745017</t>
        </is>
      </c>
      <c r="I82" t="n">
        <v>2002</v>
      </c>
      <c r="J82" t="inlineStr">
        <is>
          <t>6,6</t>
        </is>
      </c>
      <c r="K82" t="n">
        <v>12</v>
      </c>
      <c r="M82" t="inlineStr">
        <is>
          <t>hybrid</t>
        </is>
      </c>
      <c r="N82" t="inlineStr">
        <is>
          <t>Yes</t>
        </is>
      </c>
      <c r="O82" t="n">
        <v>0.1</v>
      </c>
      <c r="P82" t="n">
        <v>0</v>
      </c>
      <c r="Q82" t="inlineStr">
        <is>
          <t>2026-07-12_21-15-58/surrogate_6x6.pth</t>
        </is>
      </c>
      <c r="R82" t="n">
        <v>0.003</v>
      </c>
      <c r="S82" t="inlineStr">
        <is>
          <t>Done</t>
        </is>
      </c>
      <c r="V82">
        <f>HYPERLINK("c:\users\omer\rl-qecc-data\2026-07-22_19-18-43_3745017\postProcessing.png","plot")</f>
        <v/>
      </c>
      <c r="W82">
        <f>HYPERLINK("c:\users\omer\rl-qecc-data\2026-07-22_19-18-43_3745017\experiment.txt","experiment.txt")</f>
        <v/>
      </c>
    </row>
    <row r="83">
      <c r="H83" t="inlineStr">
        <is>
          <t>c:/users/omer/rl-qecc-data/2026-07-22_19-18-43_3745112</t>
        </is>
      </c>
      <c r="I83" t="n">
        <v>3003</v>
      </c>
      <c r="J83" t="inlineStr">
        <is>
          <t>6,6</t>
        </is>
      </c>
      <c r="K83" t="n">
        <v>12</v>
      </c>
      <c r="M83" t="inlineStr">
        <is>
          <t>hybrid</t>
        </is>
      </c>
      <c r="N83" t="inlineStr">
        <is>
          <t>Yes</t>
        </is>
      </c>
      <c r="O83" t="n">
        <v>0.1</v>
      </c>
      <c r="P83" t="n">
        <v>0</v>
      </c>
      <c r="Q83" t="inlineStr">
        <is>
          <t>2026-07-12_21-15-58/surrogate_6x6.pth</t>
        </is>
      </c>
      <c r="R83" t="n">
        <v>0.003</v>
      </c>
      <c r="S83" t="inlineStr">
        <is>
          <t>Done</t>
        </is>
      </c>
      <c r="V83">
        <f>HYPERLINK("c:\users\omer\rl-qecc-data\2026-07-22_19-18-43_3745112\postProcessing.png","plot")</f>
        <v/>
      </c>
      <c r="W83">
        <f>HYPERLINK("c:\users\omer\rl-qecc-data\2026-07-22_19-18-43_3745112\experiment.txt","experiment.txt")</f>
        <v/>
      </c>
    </row>
    <row r="84">
      <c r="H84" t="inlineStr">
        <is>
          <t>c:/users/omer/rl-qecc-data/2026-07-22_20-18-47_276717</t>
        </is>
      </c>
      <c r="I84" t="n">
        <v>5005</v>
      </c>
      <c r="J84" t="inlineStr">
        <is>
          <t>6,6</t>
        </is>
      </c>
      <c r="K84" t="n">
        <v>12</v>
      </c>
      <c r="M84" t="inlineStr">
        <is>
          <t>hybrid</t>
        </is>
      </c>
      <c r="N84" t="inlineStr">
        <is>
          <t>Yes</t>
        </is>
      </c>
      <c r="O84" t="n">
        <v>0.1</v>
      </c>
      <c r="P84" t="n">
        <v>0</v>
      </c>
      <c r="Q84" t="inlineStr">
        <is>
          <t>2026-07-12_21-15-58/surrogate_6x6.pth</t>
        </is>
      </c>
      <c r="R84" t="n">
        <v>0.003</v>
      </c>
      <c r="S84" t="inlineStr">
        <is>
          <t>Done</t>
        </is>
      </c>
      <c r="V84">
        <f>HYPERLINK("c:\users\omer\rl-qecc-data\2026-07-22_20-18-47_276717\postProcessing.png","plot")</f>
        <v/>
      </c>
      <c r="W84">
        <f>HYPERLINK("c:\users\omer\rl-qecc-data\2026-07-22_20-18-47_276717\experiment.txt","experiment.txt")</f>
        <v/>
      </c>
    </row>
    <row r="85">
      <c r="H85" t="inlineStr">
        <is>
          <t>c:/users/omer/rl-qecc-data/2026-07-22_20-18-47_276848</t>
        </is>
      </c>
      <c r="I85" t="n">
        <v>4004</v>
      </c>
      <c r="J85" t="inlineStr">
        <is>
          <t>6,6</t>
        </is>
      </c>
      <c r="K85" t="n">
        <v>12</v>
      </c>
      <c r="M85" t="inlineStr">
        <is>
          <t>hybrid</t>
        </is>
      </c>
      <c r="N85" t="inlineStr">
        <is>
          <t>Yes</t>
        </is>
      </c>
      <c r="O85" t="n">
        <v>0.1</v>
      </c>
      <c r="P85" t="n">
        <v>0</v>
      </c>
      <c r="Q85" t="inlineStr">
        <is>
          <t>2026-07-12_21-15-58/surrogate_6x6.pth</t>
        </is>
      </c>
      <c r="R85" t="n">
        <v>0.003</v>
      </c>
      <c r="S85" t="inlineStr">
        <is>
          <t>Done</t>
        </is>
      </c>
      <c r="V85">
        <f>HYPERLINK("c:\users\omer\rl-qecc-data\2026-07-22_20-18-47_276848\postProcessing.png","plot")</f>
        <v/>
      </c>
      <c r="W85">
        <f>HYPERLINK("c:\users\omer\rl-qecc-data\2026-07-22_20-18-47_276848\experiment.txt","experiment.txt")</f>
        <v/>
      </c>
    </row>
    <row r="86">
      <c r="H86" t="inlineStr">
        <is>
          <t>c:/users/omer/rl-qecc-data/2026-07-22_20-18-47_276927</t>
        </is>
      </c>
      <c r="I86" t="n">
        <v>6006</v>
      </c>
      <c r="J86" t="inlineStr">
        <is>
          <t>6,6</t>
        </is>
      </c>
      <c r="K86" t="n">
        <v>12</v>
      </c>
      <c r="M86" t="inlineStr">
        <is>
          <t>hybrid</t>
        </is>
      </c>
      <c r="N86" t="inlineStr">
        <is>
          <t>Yes</t>
        </is>
      </c>
      <c r="O86" t="n">
        <v>0.1</v>
      </c>
      <c r="P86" t="n">
        <v>0</v>
      </c>
      <c r="Q86" t="inlineStr">
        <is>
          <t>2026-07-12_21-15-58/surrogate_6x6.pth</t>
        </is>
      </c>
      <c r="R86" t="n">
        <v>0.003</v>
      </c>
      <c r="S86" t="inlineStr">
        <is>
          <t>Done</t>
        </is>
      </c>
      <c r="V86">
        <f>HYPERLINK("c:\users\omer\rl-qecc-data\2026-07-22_20-18-47_276927\postProcessing.png","plot")</f>
        <v/>
      </c>
      <c r="W86">
        <f>HYPERLINK("c:\users\omer\rl-qecc-data\2026-07-22_20-18-47_276927\experiment.txt","experiment.txt")</f>
        <v/>
      </c>
    </row>
    <row r="87">
      <c r="H87" t="inlineStr">
        <is>
          <t>c:/users/omer/rl-qecc-data/2026-07-22_20-21-11_704765</t>
        </is>
      </c>
      <c r="I87" t="n">
        <v>2002</v>
      </c>
      <c r="J87" t="inlineStr">
        <is>
          <t>6,6</t>
        </is>
      </c>
      <c r="K87" t="n">
        <v>12</v>
      </c>
      <c r="M87" t="inlineStr">
        <is>
          <t>hybrid</t>
        </is>
      </c>
      <c r="N87" t="inlineStr">
        <is>
          <t>Yes</t>
        </is>
      </c>
      <c r="O87" t="n">
        <v>0.1</v>
      </c>
      <c r="P87" t="n">
        <v>10</v>
      </c>
      <c r="Q87" t="inlineStr">
        <is>
          <t>2026-07-12_21-15-58/surrogate_6x6.pth</t>
        </is>
      </c>
      <c r="R87" t="n">
        <v>0.003</v>
      </c>
      <c r="S87" t="inlineStr">
        <is>
          <t>Done</t>
        </is>
      </c>
      <c r="V87">
        <f>HYPERLINK("c:\users\omer\rl-qecc-data\2026-07-22_20-21-11_704765\postProcessing.png","plot")</f>
        <v/>
      </c>
      <c r="W87">
        <f>HYPERLINK("c:\users\omer\rl-qecc-data\2026-07-22_20-21-11_704765\experiment.txt","experiment.txt")</f>
        <v/>
      </c>
    </row>
    <row r="88">
      <c r="H88" t="inlineStr">
        <is>
          <t>c:/users/omer/rl-qecc-data/2026-07-22_20-21-11_704843</t>
        </is>
      </c>
      <c r="I88" t="n">
        <v>1001</v>
      </c>
      <c r="J88" t="inlineStr">
        <is>
          <t>6,6</t>
        </is>
      </c>
      <c r="K88" t="n">
        <v>12</v>
      </c>
      <c r="M88" t="inlineStr">
        <is>
          <t>hybrid</t>
        </is>
      </c>
      <c r="N88" t="inlineStr">
        <is>
          <t>Yes</t>
        </is>
      </c>
      <c r="O88" t="n">
        <v>0.1</v>
      </c>
      <c r="P88" t="n">
        <v>10</v>
      </c>
      <c r="Q88" t="inlineStr">
        <is>
          <t>2026-07-12_21-15-58/surrogate_6x6.pth</t>
        </is>
      </c>
      <c r="R88" t="n">
        <v>0.003</v>
      </c>
      <c r="S88" t="inlineStr">
        <is>
          <t>Done</t>
        </is>
      </c>
      <c r="V88">
        <f>HYPERLINK("c:\users\omer\rl-qecc-data\2026-07-22_20-21-11_704843\postProcessing.png","plot")</f>
        <v/>
      </c>
      <c r="W88">
        <f>HYPERLINK("c:\users\omer\rl-qecc-data\2026-07-22_20-21-11_704843\experiment.txt","experiment.txt")</f>
        <v/>
      </c>
    </row>
    <row r="89">
      <c r="H89" t="inlineStr">
        <is>
          <t>c:/users/omer/rl-qecc-data/2026-07-23_02-39-30_730126</t>
        </is>
      </c>
      <c r="I89" t="n">
        <v>3003</v>
      </c>
      <c r="J89" t="inlineStr">
        <is>
          <t>6,6</t>
        </is>
      </c>
      <c r="K89" t="n">
        <v>12</v>
      </c>
      <c r="M89" t="inlineStr">
        <is>
          <t>hybrid</t>
        </is>
      </c>
      <c r="N89" t="inlineStr">
        <is>
          <t>Yes</t>
        </is>
      </c>
      <c r="O89" t="n">
        <v>0.1</v>
      </c>
      <c r="P89" t="n">
        <v>10</v>
      </c>
      <c r="Q89" t="inlineStr">
        <is>
          <t>2026-07-12_21-15-58/surrogate_6x6.pth</t>
        </is>
      </c>
      <c r="R89" t="n">
        <v>0.003</v>
      </c>
      <c r="S89" t="inlineStr">
        <is>
          <t>Done</t>
        </is>
      </c>
      <c r="V89">
        <f>HYPERLINK("c:\users\omer\rl-qecc-data\2026-07-23_02-39-30_730126\postProcessing.png","plot")</f>
        <v/>
      </c>
      <c r="W89">
        <f>HYPERLINK("c:\users\omer\rl-qecc-data\2026-07-23_02-39-30_730126\experiment.txt","experiment.txt")</f>
        <v/>
      </c>
    </row>
    <row r="90">
      <c r="H90" t="inlineStr">
        <is>
          <t>c:/users/omer/rl-qecc-data/2026-07-23_02-43-47_3614886</t>
        </is>
      </c>
      <c r="I90" t="n">
        <v>4004</v>
      </c>
      <c r="J90" t="inlineStr">
        <is>
          <t>6,6</t>
        </is>
      </c>
      <c r="K90" t="n">
        <v>12</v>
      </c>
      <c r="M90" t="inlineStr">
        <is>
          <t>hybrid</t>
        </is>
      </c>
      <c r="N90" t="inlineStr">
        <is>
          <t>Yes</t>
        </is>
      </c>
      <c r="O90" t="n">
        <v>0.1</v>
      </c>
      <c r="P90" t="n">
        <v>10</v>
      </c>
      <c r="Q90" t="inlineStr">
        <is>
          <t>2026-07-12_21-15-58/surrogate_6x6.pth</t>
        </is>
      </c>
      <c r="R90" t="n">
        <v>0.003</v>
      </c>
      <c r="S90" t="inlineStr">
        <is>
          <t>Done</t>
        </is>
      </c>
      <c r="V90">
        <f>HYPERLINK("c:\users\omer\rl-qecc-data\2026-07-23_02-43-47_3614886\postProcessing.png","plot")</f>
        <v/>
      </c>
      <c r="W90">
        <f>HYPERLINK("c:\users\omer\rl-qecc-data\2026-07-23_02-43-47_3614886\experiment.txt","experiment.txt")</f>
        <v/>
      </c>
    </row>
    <row r="91">
      <c r="H91" t="inlineStr">
        <is>
          <t>c:/users/omer/rl-qecc-data/2026-07-23_02-43-47_3615829</t>
        </is>
      </c>
      <c r="I91" t="n">
        <v>5005</v>
      </c>
      <c r="J91" t="inlineStr">
        <is>
          <t>6,6</t>
        </is>
      </c>
      <c r="K91" t="n">
        <v>12</v>
      </c>
      <c r="M91" t="inlineStr">
        <is>
          <t>hybrid</t>
        </is>
      </c>
      <c r="N91" t="inlineStr">
        <is>
          <t>Yes</t>
        </is>
      </c>
      <c r="O91" t="n">
        <v>0.1</v>
      </c>
      <c r="P91" t="n">
        <v>10</v>
      </c>
      <c r="Q91" t="inlineStr">
        <is>
          <t>2026-07-12_21-15-58/surrogate_6x6.pth</t>
        </is>
      </c>
      <c r="R91" t="n">
        <v>0.003</v>
      </c>
      <c r="S91" t="inlineStr">
        <is>
          <t>Done</t>
        </is>
      </c>
      <c r="V91">
        <f>HYPERLINK("c:\users\omer\rl-qecc-data\2026-07-23_02-43-47_3615829\postProcessing.png","plot")</f>
        <v/>
      </c>
      <c r="W91">
        <f>HYPERLINK("c:\users\omer\rl-qecc-data\2026-07-23_02-43-47_3615829\experiment.txt","experiment.txt")</f>
        <v/>
      </c>
    </row>
    <row r="92">
      <c r="H92" t="inlineStr">
        <is>
          <t>c:/users/omer/rl-qecc-data/2026-07-23_03-19-24_733258</t>
        </is>
      </c>
      <c r="I92" t="n">
        <v>6006</v>
      </c>
      <c r="J92" t="inlineStr">
        <is>
          <t>6,6</t>
        </is>
      </c>
      <c r="K92" t="n">
        <v>12</v>
      </c>
      <c r="M92" t="inlineStr">
        <is>
          <t>hybrid</t>
        </is>
      </c>
      <c r="N92" t="inlineStr">
        <is>
          <t>Yes</t>
        </is>
      </c>
      <c r="O92" t="n">
        <v>0.1</v>
      </c>
      <c r="P92" t="n">
        <v>10</v>
      </c>
      <c r="Q92" t="inlineStr">
        <is>
          <t>2026-07-12_21-15-58/surrogate_6x6.pth</t>
        </is>
      </c>
      <c r="R92" t="n">
        <v>0.003</v>
      </c>
      <c r="S92" t="inlineStr">
        <is>
          <t>Done</t>
        </is>
      </c>
      <c r="V92">
        <f>HYPERLINK("c:\users\omer\rl-qecc-data\2026-07-23_03-19-24_733258\postProcessing.png","plot")</f>
        <v/>
      </c>
      <c r="W92">
        <f>HYPERLINK("c:\users\omer\rl-qecc-data\2026-07-23_03-19-24_733258\experiment.txt","experiment.txt")</f>
        <v/>
      </c>
    </row>
    <row r="93">
      <c r="H93" t="inlineStr">
        <is>
          <t>c:/users/omer/rl-qecc-data/2026-07-23_03-21-47_3619889</t>
        </is>
      </c>
      <c r="I93" t="n">
        <v>1001</v>
      </c>
      <c r="J93" t="inlineStr">
        <is>
          <t>6,6</t>
        </is>
      </c>
      <c r="K93" t="n">
        <v>12</v>
      </c>
      <c r="M93" t="inlineStr">
        <is>
          <t>hybrid</t>
        </is>
      </c>
      <c r="N93" t="inlineStr">
        <is>
          <t>Yes</t>
        </is>
      </c>
      <c r="O93" t="n">
        <v>0.1</v>
      </c>
      <c r="P93" t="n">
        <v>50</v>
      </c>
      <c r="Q93" t="inlineStr">
        <is>
          <t>2026-07-12_21-15-58/surrogate_6x6.pth</t>
        </is>
      </c>
      <c r="R93" t="n">
        <v>0.003</v>
      </c>
      <c r="S93" t="inlineStr">
        <is>
          <t>Done</t>
        </is>
      </c>
      <c r="V93">
        <f>HYPERLINK("c:\users\omer\rl-qecc-data\2026-07-23_03-21-47_3619889\postProcessing.png","plot")</f>
        <v/>
      </c>
      <c r="W93">
        <f>HYPERLINK("c:\users\omer\rl-qecc-data\2026-07-23_03-21-47_3619889\experiment.txt","experiment.txt")</f>
        <v/>
      </c>
    </row>
    <row r="94">
      <c r="H94" t="inlineStr">
        <is>
          <t>c:/users/omer/rl-qecc-data/2026-07-23_03-23-05_734201</t>
        </is>
      </c>
      <c r="I94" t="n">
        <v>2002</v>
      </c>
      <c r="J94" t="inlineStr">
        <is>
          <t>6,6</t>
        </is>
      </c>
      <c r="K94" t="n">
        <v>12</v>
      </c>
      <c r="M94" t="inlineStr">
        <is>
          <t>hybrid</t>
        </is>
      </c>
      <c r="N94" t="inlineStr">
        <is>
          <t>Yes</t>
        </is>
      </c>
      <c r="O94" t="n">
        <v>0.1</v>
      </c>
      <c r="P94" t="n">
        <v>50</v>
      </c>
      <c r="Q94" t="inlineStr">
        <is>
          <t>2026-07-12_21-15-58/surrogate_6x6.pth</t>
        </is>
      </c>
      <c r="R94" t="n">
        <v>0.003</v>
      </c>
      <c r="S94" t="inlineStr">
        <is>
          <t>Done</t>
        </is>
      </c>
      <c r="V94">
        <f>HYPERLINK("c:\users\omer\rl-qecc-data\2026-07-23_03-23-05_734201\postProcessing.png","plot")</f>
        <v/>
      </c>
      <c r="W94">
        <f>HYPERLINK("c:\users\omer\rl-qecc-data\2026-07-23_03-23-05_734201\experiment.txt","experiment.txt")</f>
        <v/>
      </c>
    </row>
    <row r="95">
      <c r="H95" t="inlineStr">
        <is>
          <t>c:/users/omer/rl-qecc-data/2026-07-23_03-59-00_3777928</t>
        </is>
      </c>
      <c r="I95" t="n">
        <v>3003</v>
      </c>
      <c r="J95" t="inlineStr">
        <is>
          <t>6,6</t>
        </is>
      </c>
      <c r="K95" t="n">
        <v>12</v>
      </c>
      <c r="M95" t="inlineStr">
        <is>
          <t>hybrid</t>
        </is>
      </c>
      <c r="N95" t="inlineStr">
        <is>
          <t>Yes</t>
        </is>
      </c>
      <c r="O95" t="n">
        <v>0.1</v>
      </c>
      <c r="P95" t="n">
        <v>50</v>
      </c>
      <c r="Q95" t="inlineStr">
        <is>
          <t>2026-07-12_21-15-58/surrogate_6x6.pth</t>
        </is>
      </c>
      <c r="R95" t="n">
        <v>0.003</v>
      </c>
      <c r="S95" t="inlineStr">
        <is>
          <t>Done</t>
        </is>
      </c>
      <c r="V95">
        <f>HYPERLINK("c:\users\omer\rl-qecc-data\2026-07-23_03-59-00_3777928\postProcessing.png","plot")</f>
        <v/>
      </c>
      <c r="W95">
        <f>HYPERLINK("c:\users\omer\rl-qecc-data\2026-07-23_03-59-00_3777928\experiment.txt","experiment.txt")</f>
        <v/>
      </c>
    </row>
    <row r="96">
      <c r="H96" t="inlineStr">
        <is>
          <t>c:/users/omer/rl-qecc-data/2026-07-23_03-59-00_3778025</t>
        </is>
      </c>
      <c r="I96" t="n">
        <v>4004</v>
      </c>
      <c r="J96" t="inlineStr">
        <is>
          <t>6,6</t>
        </is>
      </c>
      <c r="K96" t="n">
        <v>12</v>
      </c>
      <c r="M96" t="inlineStr">
        <is>
          <t>hybrid</t>
        </is>
      </c>
      <c r="N96" t="inlineStr">
        <is>
          <t>Yes</t>
        </is>
      </c>
      <c r="O96" t="n">
        <v>0.1</v>
      </c>
      <c r="P96" t="n">
        <v>50</v>
      </c>
      <c r="Q96" t="inlineStr">
        <is>
          <t>2026-07-12_21-15-58/surrogate_6x6.pth</t>
        </is>
      </c>
      <c r="R96" t="n">
        <v>0.003</v>
      </c>
      <c r="S96" t="inlineStr">
        <is>
          <t>Done</t>
        </is>
      </c>
      <c r="V96">
        <f>HYPERLINK("c:\users\omer\rl-qecc-data\2026-07-23_03-59-00_3778025\postProcessing.png","plot")</f>
        <v/>
      </c>
      <c r="W96">
        <f>HYPERLINK("c:\users\omer\rl-qecc-data\2026-07-23_03-59-00_3778025\experiment.txt","experiment.txt")</f>
        <v/>
      </c>
    </row>
    <row r="97">
      <c r="H97" t="inlineStr">
        <is>
          <t>c:/users/omer/rl-qecc-data/2026-07-23_09-49-04_3803742</t>
        </is>
      </c>
      <c r="I97" t="n">
        <v>5005</v>
      </c>
      <c r="J97" t="inlineStr">
        <is>
          <t>6,6</t>
        </is>
      </c>
      <c r="K97" t="n">
        <v>12</v>
      </c>
      <c r="M97" t="inlineStr">
        <is>
          <t>hybrid</t>
        </is>
      </c>
      <c r="N97" t="inlineStr">
        <is>
          <t>Yes</t>
        </is>
      </c>
      <c r="O97" t="n">
        <v>0.1</v>
      </c>
      <c r="P97" t="n">
        <v>50</v>
      </c>
      <c r="Q97" t="inlineStr">
        <is>
          <t>2026-07-12_21-15-58/surrogate_6x6.pth</t>
        </is>
      </c>
      <c r="R97" t="n">
        <v>0.003</v>
      </c>
      <c r="S97" t="inlineStr">
        <is>
          <t>Done</t>
        </is>
      </c>
      <c r="V97">
        <f>HYPERLINK("c:\users\omer\rl-qecc-data\2026-07-23_09-49-04_3803742\postProcessing.png","plot")</f>
        <v/>
      </c>
      <c r="W97">
        <f>HYPERLINK("c:\users\omer\rl-qecc-data\2026-07-23_09-49-04_3803742\experiment.txt","experiment.txt")</f>
        <v/>
      </c>
    </row>
    <row r="98">
      <c r="H98" t="inlineStr">
        <is>
          <t>c:/users/omer/rl-qecc-data/2026-07-23_09-49-33_3645399</t>
        </is>
      </c>
      <c r="I98" t="n">
        <v>6006</v>
      </c>
      <c r="J98" t="inlineStr">
        <is>
          <t>6,6</t>
        </is>
      </c>
      <c r="K98" t="n">
        <v>12</v>
      </c>
      <c r="M98" t="inlineStr">
        <is>
          <t>hybrid</t>
        </is>
      </c>
      <c r="N98" t="inlineStr">
        <is>
          <t>Yes</t>
        </is>
      </c>
      <c r="O98" t="n">
        <v>0.1</v>
      </c>
      <c r="P98" t="n">
        <v>50</v>
      </c>
      <c r="Q98" t="inlineStr">
        <is>
          <t>2026-07-12_21-15-58/surrogate_6x6.pth</t>
        </is>
      </c>
      <c r="R98" t="n">
        <v>0.003</v>
      </c>
      <c r="S98" t="inlineStr">
        <is>
          <t>Done</t>
        </is>
      </c>
      <c r="V98">
        <f>HYPERLINK("c:\users\omer\rl-qecc-data\2026-07-23_09-49-33_3645399\postProcessing.png","plot")</f>
        <v/>
      </c>
      <c r="W98">
        <f>HYPERLINK("c:\users\omer\rl-qecc-data\2026-07-23_09-49-33_3645399\experiment.txt","experiment.txt")</f>
        <v/>
      </c>
    </row>
    <row r="99">
      <c r="H99" t="inlineStr">
        <is>
          <t>c:/users/omer/rl-qecc-data/2026-07-23_09-50-08_760381</t>
        </is>
      </c>
      <c r="I99" t="n">
        <v>1001</v>
      </c>
      <c r="J99" t="inlineStr">
        <is>
          <t>6,6</t>
        </is>
      </c>
      <c r="K99" t="n">
        <v>12</v>
      </c>
      <c r="M99" t="inlineStr">
        <is>
          <t>hybrid</t>
        </is>
      </c>
      <c r="N99" t="inlineStr">
        <is>
          <t>Yes</t>
        </is>
      </c>
      <c r="O99" t="n">
        <v>0.1</v>
      </c>
      <c r="P99" t="n">
        <v>200</v>
      </c>
      <c r="Q99" t="inlineStr">
        <is>
          <t>2026-07-12_21-15-58/surrogate_6x6.pth</t>
        </is>
      </c>
      <c r="R99" t="n">
        <v>0.003</v>
      </c>
      <c r="S99" t="inlineStr">
        <is>
          <t>Done</t>
        </is>
      </c>
      <c r="V99">
        <f>HYPERLINK("c:\users\omer\rl-qecc-data\2026-07-23_09-50-08_760381\postProcessing.png","plot")</f>
        <v/>
      </c>
      <c r="W99">
        <f>HYPERLINK("c:\users\omer\rl-qecc-data\2026-07-23_09-50-08_760381\experiment.txt","experiment.txt")</f>
        <v/>
      </c>
    </row>
    <row r="100">
      <c r="H100" t="inlineStr">
        <is>
          <t>c:/users/omer/rl-qecc-data/2026-07-23_10-21-26_3648285</t>
        </is>
      </c>
      <c r="I100" t="n">
        <v>2002</v>
      </c>
      <c r="J100" t="inlineStr">
        <is>
          <t>6,6</t>
        </is>
      </c>
      <c r="K100" t="n">
        <v>12</v>
      </c>
      <c r="M100" t="inlineStr">
        <is>
          <t>hybrid</t>
        </is>
      </c>
      <c r="N100" t="inlineStr">
        <is>
          <t>Yes</t>
        </is>
      </c>
      <c r="O100" t="n">
        <v>0.1</v>
      </c>
      <c r="P100" t="n">
        <v>200</v>
      </c>
      <c r="Q100" t="inlineStr">
        <is>
          <t>2026-07-12_21-15-58/surrogate_6x6.pth</t>
        </is>
      </c>
      <c r="R100" t="n">
        <v>0.003</v>
      </c>
      <c r="S100" t="inlineStr">
        <is>
          <t>Done</t>
        </is>
      </c>
      <c r="V100">
        <f>HYPERLINK("c:\users\omer\rl-qecc-data\2026-07-23_10-21-26_3648285\postProcessing.png","plot")</f>
        <v/>
      </c>
      <c r="W100">
        <f>HYPERLINK("c:\users\omer\rl-qecc-data\2026-07-23_10-21-26_3648285\experiment.txt","experiment.txt")</f>
        <v/>
      </c>
    </row>
    <row r="101">
      <c r="H101" t="inlineStr">
        <is>
          <t>c:/users/omer/rl-qecc-data/2026-07-23_10-26-58_324404</t>
        </is>
      </c>
      <c r="I101" t="n">
        <v>3003</v>
      </c>
      <c r="J101" t="inlineStr">
        <is>
          <t>6,6</t>
        </is>
      </c>
      <c r="K101" t="n">
        <v>12</v>
      </c>
      <c r="M101" t="inlineStr">
        <is>
          <t>hybrid</t>
        </is>
      </c>
      <c r="N101" t="inlineStr">
        <is>
          <t>Yes</t>
        </is>
      </c>
      <c r="O101" t="n">
        <v>0.1</v>
      </c>
      <c r="P101" t="n">
        <v>200</v>
      </c>
      <c r="Q101" t="inlineStr">
        <is>
          <t>2026-07-12_21-15-58/surrogate_6x6.pth</t>
        </is>
      </c>
      <c r="R101" t="n">
        <v>0.003</v>
      </c>
      <c r="S101" t="inlineStr">
        <is>
          <t>Done</t>
        </is>
      </c>
      <c r="V101">
        <f>HYPERLINK("c:\users\omer\rl-qecc-data\2026-07-23_10-26-58_324404\postProcessing.png","plot")</f>
        <v/>
      </c>
      <c r="W101">
        <f>HYPERLINK("c:\users\omer\rl-qecc-data\2026-07-23_10-26-58_324404\experiment.txt","experiment.txt")</f>
        <v/>
      </c>
    </row>
    <row r="102">
      <c r="H102" t="inlineStr">
        <is>
          <t>c:/users/omer/rl-qecc-data/2026-07-23_10-30-48_3649405</t>
        </is>
      </c>
      <c r="I102" t="n">
        <v>4004</v>
      </c>
      <c r="J102" t="inlineStr">
        <is>
          <t>6,6</t>
        </is>
      </c>
      <c r="K102" t="n">
        <v>12</v>
      </c>
      <c r="M102" t="inlineStr">
        <is>
          <t>hybrid</t>
        </is>
      </c>
      <c r="N102" t="inlineStr">
        <is>
          <t>Yes</t>
        </is>
      </c>
      <c r="O102" t="n">
        <v>0.1</v>
      </c>
      <c r="P102" t="n">
        <v>200</v>
      </c>
      <c r="Q102" t="inlineStr">
        <is>
          <t>2026-07-12_21-15-58/surrogate_6x6.pth</t>
        </is>
      </c>
      <c r="R102" t="n">
        <v>0.003</v>
      </c>
      <c r="S102" t="inlineStr">
        <is>
          <t>Done</t>
        </is>
      </c>
      <c r="V102">
        <f>HYPERLINK("c:\users\omer\rl-qecc-data\2026-07-23_10-30-48_3649405\postProcessing.png","plot")</f>
        <v/>
      </c>
      <c r="W102">
        <f>HYPERLINK("c:\users\omer\rl-qecc-data\2026-07-23_10-30-48_3649405\experiment.txt","experiment.txt")</f>
        <v/>
      </c>
    </row>
    <row r="103">
      <c r="H103" t="inlineStr">
        <is>
          <t>c:/users/omer/rl-qecc-data/2026-07-23_10-35-04_763592</t>
        </is>
      </c>
      <c r="I103" t="n">
        <v>5005</v>
      </c>
      <c r="J103" t="inlineStr">
        <is>
          <t>6,6</t>
        </is>
      </c>
      <c r="K103" t="n">
        <v>12</v>
      </c>
      <c r="M103" t="inlineStr">
        <is>
          <t>hybrid</t>
        </is>
      </c>
      <c r="N103" t="inlineStr">
        <is>
          <t>Yes</t>
        </is>
      </c>
      <c r="O103" t="n">
        <v>0.1</v>
      </c>
      <c r="P103" t="n">
        <v>200</v>
      </c>
      <c r="Q103" t="inlineStr">
        <is>
          <t>2026-07-12_21-15-58/surrogate_6x6.pth</t>
        </is>
      </c>
      <c r="R103" t="n">
        <v>0.003</v>
      </c>
      <c r="S103" t="inlineStr">
        <is>
          <t>Done</t>
        </is>
      </c>
      <c r="V103">
        <f>HYPERLINK("c:\users\omer\rl-qecc-data\2026-07-23_10-35-04_763592\postProcessing.png","plot")</f>
        <v/>
      </c>
      <c r="W103">
        <f>HYPERLINK("c:\users\omer\rl-qecc-data\2026-07-23_10-35-04_763592\experiment.txt","experiment.txt")</f>
        <v/>
      </c>
    </row>
    <row r="104">
      <c r="H104" t="inlineStr">
        <is>
          <t>c:/users/omer/rl-qecc-data/2026-07-23_11-04-08_766658</t>
        </is>
      </c>
      <c r="I104" t="n">
        <v>6006</v>
      </c>
      <c r="J104" t="inlineStr">
        <is>
          <t>6,6</t>
        </is>
      </c>
      <c r="K104" t="n">
        <v>12</v>
      </c>
      <c r="M104" t="inlineStr">
        <is>
          <t>hybrid</t>
        </is>
      </c>
      <c r="N104" t="inlineStr">
        <is>
          <t>Yes</t>
        </is>
      </c>
      <c r="O104" t="n">
        <v>0.1</v>
      </c>
      <c r="P104" t="n">
        <v>200</v>
      </c>
      <c r="Q104" t="inlineStr">
        <is>
          <t>2026-07-12_21-15-58/surrogate_6x6.pth</t>
        </is>
      </c>
      <c r="R104" t="n">
        <v>0.003</v>
      </c>
      <c r="S104" t="inlineStr">
        <is>
          <t>Done</t>
        </is>
      </c>
      <c r="V104">
        <f>HYPERLINK("c:\users\omer\rl-qecc-data\2026-07-23_11-04-08_766658\postProcessing.png","plot")</f>
        <v/>
      </c>
      <c r="W104">
        <f>HYPERLINK("c:\users\omer\rl-qecc-data\2026-07-23_11-04-08_766658\experiment.txt","experiment.txt")</f>
        <v/>
      </c>
    </row>
    <row r="105">
      <c r="H105" t="inlineStr">
        <is>
          <t>c:/users/omer/rl-qecc-data/2026-07-23_16-32-07_351545</t>
        </is>
      </c>
      <c r="I105" t="n">
        <v>1001</v>
      </c>
      <c r="J105" t="inlineStr">
        <is>
          <t>6,6</t>
        </is>
      </c>
      <c r="K105" t="n">
        <v>12</v>
      </c>
      <c r="M105" t="inlineStr">
        <is>
          <t>hybrid</t>
        </is>
      </c>
      <c r="N105" t="inlineStr">
        <is>
          <t>Yes</t>
        </is>
      </c>
      <c r="O105" t="n">
        <v>0.1</v>
      </c>
      <c r="P105" t="n">
        <v>500</v>
      </c>
      <c r="Q105" t="inlineStr">
        <is>
          <t>2026-07-12_21-15-58/surrogate_6x6.pth</t>
        </is>
      </c>
      <c r="R105" t="n">
        <v>0.003</v>
      </c>
      <c r="S105" t="inlineStr">
        <is>
          <t>Done</t>
        </is>
      </c>
      <c r="V105">
        <f>HYPERLINK("c:\users\omer\rl-qecc-data\2026-07-23_16-32-07_351545\postProcessing.png","plot")</f>
        <v/>
      </c>
      <c r="W105">
        <f>HYPERLINK("c:\users\omer\rl-qecc-data\2026-07-23_16-32-07_351545\experiment.txt","experiment.txt")</f>
        <v/>
      </c>
    </row>
    <row r="106">
      <c r="H106" t="inlineStr">
        <is>
          <t>c:/users/omer/rl-qecc-data/2026-07-23_16-39-33_352442</t>
        </is>
      </c>
      <c r="I106" t="n">
        <v>2002</v>
      </c>
      <c r="J106" t="inlineStr">
        <is>
          <t>6,6</t>
        </is>
      </c>
      <c r="K106" t="n">
        <v>12</v>
      </c>
      <c r="M106" t="inlineStr">
        <is>
          <t>hybrid</t>
        </is>
      </c>
      <c r="N106" t="inlineStr">
        <is>
          <t>Yes</t>
        </is>
      </c>
      <c r="O106" t="n">
        <v>0.1</v>
      </c>
      <c r="P106" t="n">
        <v>500</v>
      </c>
      <c r="Q106" t="inlineStr">
        <is>
          <t>2026-07-12_21-15-58/surrogate_6x6.pth</t>
        </is>
      </c>
      <c r="R106" t="n">
        <v>0.003</v>
      </c>
      <c r="S106" t="inlineStr">
        <is>
          <t>Done</t>
        </is>
      </c>
      <c r="V106">
        <f>HYPERLINK("c:\users\omer\rl-qecc-data\2026-07-23_16-39-33_352442\postProcessing.png","plot")</f>
        <v/>
      </c>
      <c r="W106">
        <f>HYPERLINK("c:\users\omer\rl-qecc-data\2026-07-23_16-39-33_352442\experiment.txt","experiment.txt")</f>
        <v/>
      </c>
    </row>
    <row r="107">
      <c r="H107" t="inlineStr">
        <is>
          <t>c:/users/omer/rl-qecc-data/2026-07-23_17-04-44_790643</t>
        </is>
      </c>
      <c r="I107" t="n">
        <v>3003</v>
      </c>
      <c r="J107" t="inlineStr">
        <is>
          <t>6,6</t>
        </is>
      </c>
      <c r="K107" t="n">
        <v>12</v>
      </c>
      <c r="M107" t="inlineStr">
        <is>
          <t>hybrid</t>
        </is>
      </c>
      <c r="N107" t="inlineStr">
        <is>
          <t>Yes</t>
        </is>
      </c>
      <c r="O107" t="n">
        <v>0.1</v>
      </c>
      <c r="P107" t="n">
        <v>500</v>
      </c>
      <c r="Q107" t="inlineStr">
        <is>
          <t>2026-07-12_21-15-58/surrogate_6x6.pth</t>
        </is>
      </c>
      <c r="R107" t="n">
        <v>0.003</v>
      </c>
      <c r="S107" t="inlineStr">
        <is>
          <t>Done</t>
        </is>
      </c>
      <c r="V107">
        <f>HYPERLINK("c:\users\omer\rl-qecc-data\2026-07-23_17-04-44_790643\postProcessing.png","plot")</f>
        <v/>
      </c>
      <c r="W107">
        <f>HYPERLINK("c:\users\omer\rl-qecc-data\2026-07-23_17-04-44_790643\experiment.txt","experiment.txt")</f>
        <v/>
      </c>
    </row>
    <row r="108">
      <c r="H108" t="inlineStr">
        <is>
          <t>c:/users/omer/rl-qecc-data/2026-07-23_17-06-26_355068</t>
        </is>
      </c>
      <c r="I108" t="n">
        <v>4004</v>
      </c>
      <c r="J108" t="inlineStr">
        <is>
          <t>6,6</t>
        </is>
      </c>
      <c r="K108" t="n">
        <v>12</v>
      </c>
      <c r="M108" t="inlineStr">
        <is>
          <t>hybrid</t>
        </is>
      </c>
      <c r="N108" t="inlineStr">
        <is>
          <t>Yes</t>
        </is>
      </c>
      <c r="O108" t="n">
        <v>0.1</v>
      </c>
      <c r="P108" t="n">
        <v>500</v>
      </c>
      <c r="Q108" t="inlineStr">
        <is>
          <t>2026-07-12_21-15-58/surrogate_6x6.pth</t>
        </is>
      </c>
      <c r="R108" t="n">
        <v>0.003</v>
      </c>
      <c r="S108" t="inlineStr">
        <is>
          <t>Done</t>
        </is>
      </c>
      <c r="V108">
        <f>HYPERLINK("c:\users\omer\rl-qecc-data\2026-07-23_17-06-26_355068\postProcessing.png","plot")</f>
        <v/>
      </c>
      <c r="W108">
        <f>HYPERLINK("c:\users\omer\rl-qecc-data\2026-07-23_17-06-26_355068\experiment.txt","experiment.txt")</f>
        <v/>
      </c>
    </row>
    <row r="109">
      <c r="H109" t="inlineStr">
        <is>
          <t>c:/users/omer/rl-qecc-data/2026-07-23_17-26-23_3831930</t>
        </is>
      </c>
      <c r="I109" t="n">
        <v>5005</v>
      </c>
      <c r="J109" t="inlineStr">
        <is>
          <t>6,6</t>
        </is>
      </c>
      <c r="K109" t="n">
        <v>12</v>
      </c>
      <c r="M109" t="inlineStr">
        <is>
          <t>hybrid</t>
        </is>
      </c>
      <c r="N109" t="inlineStr">
        <is>
          <t>Yes</t>
        </is>
      </c>
      <c r="O109" t="n">
        <v>0.1</v>
      </c>
      <c r="P109" t="n">
        <v>500</v>
      </c>
      <c r="Q109" t="inlineStr">
        <is>
          <t>2026-07-12_21-15-58/surrogate_6x6.pth</t>
        </is>
      </c>
      <c r="R109" t="n">
        <v>0.003</v>
      </c>
      <c r="S109" t="inlineStr">
        <is>
          <t>Done</t>
        </is>
      </c>
      <c r="V109">
        <f>HYPERLINK("c:\users\omer\rl-qecc-data\2026-07-23_17-26-23_3831930\postProcessing.png","plot")</f>
        <v/>
      </c>
      <c r="W109">
        <f>HYPERLINK("c:\users\omer\rl-qecc-data\2026-07-23_17-26-23_3831930\experiment.txt","experiment.txt")</f>
        <v/>
      </c>
    </row>
    <row r="110">
      <c r="H110" t="inlineStr">
        <is>
          <t>c:/users/omer/rl-qecc-data/2026-07-23_17-30-12_792942</t>
        </is>
      </c>
      <c r="I110" t="n">
        <v>6006</v>
      </c>
      <c r="J110" t="inlineStr">
        <is>
          <t>6,6</t>
        </is>
      </c>
      <c r="K110" t="n">
        <v>12</v>
      </c>
      <c r="M110" t="inlineStr">
        <is>
          <t>hybrid</t>
        </is>
      </c>
      <c r="N110" t="inlineStr">
        <is>
          <t>Yes</t>
        </is>
      </c>
      <c r="O110" t="n">
        <v>0.1</v>
      </c>
      <c r="P110" t="n">
        <v>500</v>
      </c>
      <c r="Q110" t="inlineStr">
        <is>
          <t>2026-07-12_21-15-58/surrogate_6x6.pth</t>
        </is>
      </c>
      <c r="R110" t="n">
        <v>0.003</v>
      </c>
      <c r="S110" t="inlineStr">
        <is>
          <t>Done</t>
        </is>
      </c>
      <c r="V110">
        <f>HYPERLINK("c:\users\omer\rl-qecc-data\2026-07-23_17-30-12_792942\postProcessing.png","plot")</f>
        <v/>
      </c>
      <c r="W110">
        <f>HYPERLINK("c:\users\omer\rl-qecc-data\2026-07-23_17-30-12_792942\experiment.txt","experiment.txt")</f>
        <v/>
      </c>
    </row>
    <row r="111">
      <c r="H111" t="inlineStr">
        <is>
          <t>c:/users/omer/rl-qecc-data/2026-07-23_17-38-01_3833038</t>
        </is>
      </c>
      <c r="I111" t="n">
        <v>1001</v>
      </c>
      <c r="J111" t="inlineStr">
        <is>
          <t>6,6</t>
        </is>
      </c>
      <c r="K111" t="n">
        <v>12</v>
      </c>
      <c r="M111" t="inlineStr">
        <is>
          <t>hybrid</t>
        </is>
      </c>
      <c r="N111" t="inlineStr">
        <is>
          <t>Yes</t>
        </is>
      </c>
      <c r="O111" t="n">
        <v>0.1</v>
      </c>
      <c r="P111" t="n">
        <v>0</v>
      </c>
      <c r="Q111" t="inlineStr">
        <is>
          <t>2026-07-12_21-15-58/surrogate_6x6.pth</t>
        </is>
      </c>
      <c r="R111" t="n">
        <v>0.003</v>
      </c>
      <c r="S111" t="inlineStr">
        <is>
          <t>Done</t>
        </is>
      </c>
      <c r="V111">
        <f>HYPERLINK("c:\users\omer\rl-qecc-data\2026-07-23_17-38-01_3833038\postProcessing.png","plot")</f>
        <v/>
      </c>
      <c r="W111">
        <f>HYPERLINK("c:\users\omer\rl-qecc-data\2026-07-23_17-38-01_3833038\experiment.txt","experiment.txt")</f>
        <v/>
      </c>
    </row>
    <row r="112">
      <c r="H112" t="inlineStr">
        <is>
          <t>c:/users/omer/rl-qecc-data/2026-07-23_18-06-16_3835747</t>
        </is>
      </c>
      <c r="I112" t="n">
        <v>2002</v>
      </c>
      <c r="J112" t="inlineStr">
        <is>
          <t>6,6</t>
        </is>
      </c>
      <c r="K112" t="n">
        <v>12</v>
      </c>
      <c r="M112" t="inlineStr">
        <is>
          <t>hybrid</t>
        </is>
      </c>
      <c r="N112" t="inlineStr">
        <is>
          <t>Yes</t>
        </is>
      </c>
      <c r="O112" t="n">
        <v>0.1</v>
      </c>
      <c r="P112" t="n">
        <v>0</v>
      </c>
      <c r="Q112" t="inlineStr">
        <is>
          <t>2026-07-12_21-15-58/surrogate_6x6.pth</t>
        </is>
      </c>
      <c r="R112" t="n">
        <v>0.003</v>
      </c>
      <c r="S112" t="inlineStr">
        <is>
          <t>Done</t>
        </is>
      </c>
      <c r="V112">
        <f>HYPERLINK("c:\users\omer\rl-qecc-data\2026-07-23_18-06-16_3835747\postProcessing.png","plot")</f>
        <v/>
      </c>
      <c r="W112">
        <f>HYPERLINK("c:\users\omer\rl-qecc-data\2026-07-23_18-06-16_3835747\experiment.txt","experiment.txt")</f>
        <v/>
      </c>
    </row>
    <row r="113">
      <c r="H113" t="inlineStr">
        <is>
          <t>c:/users/omer/rl-qecc-data/2026-07-23_22-38-48_814037</t>
        </is>
      </c>
      <c r="I113" t="n">
        <v>3003</v>
      </c>
      <c r="J113" t="inlineStr">
        <is>
          <t>6,6</t>
        </is>
      </c>
      <c r="K113" t="n">
        <v>12</v>
      </c>
      <c r="M113" t="inlineStr">
        <is>
          <t>hybrid</t>
        </is>
      </c>
      <c r="N113" t="inlineStr">
        <is>
          <t>Yes</t>
        </is>
      </c>
      <c r="O113" t="n">
        <v>0.1</v>
      </c>
      <c r="P113" t="n">
        <v>0</v>
      </c>
      <c r="Q113" t="inlineStr">
        <is>
          <t>2026-07-12_21-15-58/surrogate_6x6.pth</t>
        </is>
      </c>
      <c r="R113" t="n">
        <v>0.003</v>
      </c>
      <c r="S113" t="inlineStr">
        <is>
          <t>Done</t>
        </is>
      </c>
      <c r="V113">
        <f>HYPERLINK("c:\users\omer\rl-qecc-data\2026-07-23_22-38-48_814037\postProcessing.png","plot")</f>
        <v/>
      </c>
      <c r="W113">
        <f>HYPERLINK("c:\users\omer\rl-qecc-data\2026-07-23_22-38-48_814037\experiment.txt","experiment.txt")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Omer Sella</dc:creator>
  <dcterms:created xsi:type="dcterms:W3CDTF">2026-07-14T21:04:19Z</dcterms:created>
  <dcterms:modified xsi:type="dcterms:W3CDTF">2026-07-24T10:57:27Z</dcterms:modified>
  <cp:lastModifiedBy>Omer Sella</cp:lastModifiedBy>
</cp:coreProperties>
</file>