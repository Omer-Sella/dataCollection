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er\rl-qecc-data\"/>
    </mc:Choice>
  </mc:AlternateContent>
  <xr:revisionPtr revIDLastSave="0" documentId="13_ncr:1_{38B5839E-E2E3-4164-9D68-C3977D25F7E8}" xr6:coauthVersionLast="47" xr6:coauthVersionMax="47" xr10:uidLastSave="{00000000-0000-0000-0000-000000000000}"/>
  <bookViews>
    <workbookView xWindow="50151" yWindow="-118" windowWidth="45269" windowHeight="18380" activeTab="1" xr2:uid="{00000000-000D-0000-FFFF-FFFF00000000}"/>
  </bookViews>
  <sheets>
    <sheet name="Investigation into encoder arch" sheetId="1" r:id="rId1"/>
    <sheet name="allData" sheetId="2" r:id="rId2"/>
  </sheets>
  <definedNames>
    <definedName name="_xlnm._FilterDatabase" localSheetId="1" hidden="1">allData!$F$1:$W$139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8" i="1" l="1"/>
  <c r="V28" i="1"/>
  <c r="W139" i="2"/>
  <c r="V139" i="2"/>
  <c r="W138" i="2"/>
  <c r="V138" i="2"/>
  <c r="W137" i="2"/>
  <c r="V137" i="2"/>
  <c r="W136" i="2"/>
  <c r="V136" i="2"/>
  <c r="W135" i="2"/>
  <c r="V135" i="2"/>
  <c r="W134" i="2"/>
  <c r="V134" i="2"/>
  <c r="W133" i="2"/>
  <c r="V133" i="2"/>
  <c r="W132" i="2"/>
  <c r="V132" i="2"/>
  <c r="W131" i="2"/>
  <c r="V131" i="2"/>
  <c r="W130" i="2"/>
  <c r="V130" i="2"/>
  <c r="W129" i="2"/>
  <c r="V129" i="2"/>
  <c r="W128" i="2"/>
  <c r="V128" i="2"/>
  <c r="W127" i="2"/>
  <c r="V127" i="2"/>
  <c r="W126" i="2"/>
  <c r="V126" i="2"/>
  <c r="W125" i="2"/>
  <c r="V125" i="2"/>
  <c r="W124" i="2"/>
  <c r="V124" i="2"/>
  <c r="W123" i="2"/>
  <c r="V123" i="2"/>
  <c r="W122" i="2"/>
  <c r="V122" i="2"/>
  <c r="W121" i="2"/>
  <c r="V121" i="2"/>
  <c r="W120" i="2"/>
  <c r="V120" i="2"/>
  <c r="W119" i="2"/>
  <c r="V119" i="2"/>
  <c r="W118" i="2"/>
  <c r="V118" i="2"/>
  <c r="W117" i="2"/>
  <c r="V117" i="2"/>
  <c r="W116" i="2"/>
  <c r="V116" i="2"/>
  <c r="W115" i="2"/>
  <c r="V115" i="2"/>
  <c r="W114" i="2"/>
  <c r="V114" i="2"/>
  <c r="W113" i="2"/>
  <c r="V113" i="2"/>
  <c r="W112" i="2"/>
  <c r="V112" i="2"/>
  <c r="W111" i="2"/>
  <c r="V111" i="2"/>
  <c r="W110" i="2"/>
  <c r="V110" i="2"/>
  <c r="W109" i="2"/>
  <c r="V109" i="2"/>
  <c r="W108" i="2"/>
  <c r="V108" i="2"/>
  <c r="W107" i="2"/>
  <c r="V107" i="2"/>
  <c r="W106" i="2"/>
  <c r="V106" i="2"/>
  <c r="W105" i="2"/>
  <c r="V105" i="2"/>
  <c r="W104" i="2"/>
  <c r="V104" i="2"/>
  <c r="W103" i="2"/>
  <c r="V103" i="2"/>
  <c r="W102" i="2"/>
  <c r="V102" i="2"/>
  <c r="W101" i="2"/>
  <c r="V101" i="2"/>
  <c r="W100" i="2"/>
  <c r="V100" i="2"/>
  <c r="W99" i="2"/>
  <c r="V99" i="2"/>
  <c r="W98" i="2"/>
  <c r="V98" i="2"/>
  <c r="W97" i="2"/>
  <c r="V97" i="2"/>
  <c r="W96" i="2"/>
  <c r="V96" i="2"/>
  <c r="W95" i="2"/>
  <c r="V95" i="2"/>
  <c r="W94" i="2"/>
  <c r="V94" i="2"/>
  <c r="W93" i="2"/>
  <c r="V93" i="2"/>
  <c r="W92" i="2"/>
  <c r="V92" i="2"/>
  <c r="W91" i="2"/>
  <c r="V91" i="2"/>
  <c r="W90" i="2"/>
  <c r="V90" i="2"/>
  <c r="W89" i="2"/>
  <c r="V89" i="2"/>
  <c r="W88" i="2"/>
  <c r="V88" i="2"/>
  <c r="W87" i="2"/>
  <c r="V87" i="2"/>
  <c r="W86" i="2"/>
  <c r="V86" i="2"/>
  <c r="W85" i="2"/>
  <c r="V85" i="2"/>
  <c r="W84" i="2"/>
  <c r="V84" i="2"/>
  <c r="W83" i="2"/>
  <c r="V83" i="2"/>
  <c r="W82" i="2"/>
  <c r="V82" i="2"/>
  <c r="W81" i="2"/>
  <c r="V81" i="2"/>
  <c r="W80" i="2"/>
  <c r="V80" i="2"/>
  <c r="W79" i="2"/>
  <c r="V79" i="2"/>
  <c r="W78" i="2"/>
  <c r="V78" i="2"/>
  <c r="W77" i="2"/>
  <c r="V77" i="2"/>
  <c r="W76" i="2"/>
  <c r="V76" i="2"/>
  <c r="W75" i="2"/>
  <c r="V75" i="2"/>
  <c r="W74" i="2"/>
  <c r="V74" i="2"/>
  <c r="W73" i="2"/>
  <c r="V73" i="2"/>
  <c r="W72" i="2"/>
  <c r="V72" i="2"/>
  <c r="W71" i="2"/>
  <c r="V71" i="2"/>
  <c r="W70" i="2"/>
  <c r="V70" i="2"/>
  <c r="W69" i="2"/>
  <c r="V69" i="2"/>
  <c r="W68" i="2"/>
  <c r="V68" i="2"/>
  <c r="W67" i="2"/>
  <c r="V67" i="2"/>
  <c r="W66" i="2"/>
  <c r="V66" i="2"/>
  <c r="W65" i="2"/>
  <c r="V65" i="2"/>
  <c r="W64" i="2"/>
  <c r="V64" i="2"/>
  <c r="W63" i="2"/>
  <c r="V63" i="2"/>
  <c r="W62" i="2"/>
  <c r="V62" i="2"/>
  <c r="W61" i="2"/>
  <c r="V61" i="2"/>
  <c r="W60" i="2"/>
  <c r="V60" i="2"/>
  <c r="W59" i="2"/>
  <c r="V59" i="2"/>
  <c r="W58" i="2"/>
  <c r="V58" i="2"/>
  <c r="W57" i="2"/>
  <c r="V57" i="2"/>
  <c r="W56" i="2"/>
  <c r="V56" i="2"/>
  <c r="W55" i="2"/>
  <c r="V55" i="2"/>
  <c r="W54" i="2"/>
  <c r="V54" i="2"/>
  <c r="W53" i="2"/>
  <c r="V53" i="2"/>
  <c r="W52" i="2"/>
  <c r="V52" i="2"/>
  <c r="W51" i="2"/>
  <c r="V51" i="2"/>
  <c r="W50" i="2"/>
  <c r="V50" i="2"/>
  <c r="W49" i="2"/>
  <c r="V49" i="2"/>
  <c r="W48" i="2"/>
  <c r="V48" i="2"/>
  <c r="W47" i="2"/>
  <c r="V47" i="2"/>
  <c r="W46" i="2"/>
  <c r="V46" i="2"/>
  <c r="W45" i="2"/>
  <c r="V45" i="2"/>
  <c r="W44" i="2"/>
  <c r="V44" i="2"/>
  <c r="W43" i="2"/>
  <c r="V43" i="2"/>
  <c r="W42" i="2"/>
  <c r="V42" i="2"/>
  <c r="W41" i="2"/>
  <c r="V41" i="2"/>
  <c r="W40" i="2"/>
  <c r="V40" i="2"/>
  <c r="W39" i="2"/>
  <c r="V39" i="2"/>
  <c r="W38" i="2"/>
  <c r="V38" i="2"/>
  <c r="W37" i="2"/>
  <c r="V37" i="2"/>
  <c r="W36" i="2"/>
  <c r="V36" i="2"/>
  <c r="W35" i="2"/>
  <c r="V35" i="2"/>
  <c r="W34" i="2"/>
  <c r="V34" i="2"/>
  <c r="W33" i="2"/>
  <c r="V33" i="2"/>
  <c r="W32" i="2"/>
  <c r="V32" i="2"/>
  <c r="W31" i="2"/>
  <c r="V31" i="2"/>
  <c r="W30" i="2"/>
  <c r="V30" i="2"/>
  <c r="W29" i="2"/>
  <c r="V29" i="2"/>
  <c r="W28" i="2"/>
  <c r="V28" i="2"/>
  <c r="W27" i="2"/>
  <c r="V27" i="2"/>
  <c r="W26" i="2"/>
  <c r="V26" i="2"/>
  <c r="W25" i="2"/>
  <c r="V25" i="2"/>
  <c r="W24" i="2"/>
  <c r="V24" i="2"/>
  <c r="W23" i="2"/>
  <c r="V23" i="2"/>
  <c r="W22" i="2"/>
  <c r="V22" i="2"/>
  <c r="W21" i="2"/>
  <c r="V21" i="2"/>
  <c r="W20" i="2"/>
  <c r="V20" i="2"/>
  <c r="W19" i="2"/>
  <c r="V19" i="2"/>
  <c r="W18" i="2"/>
  <c r="V18" i="2"/>
  <c r="W17" i="2"/>
  <c r="V17" i="2"/>
  <c r="W16" i="2"/>
  <c r="V16" i="2"/>
  <c r="W15" i="2"/>
  <c r="V15" i="2"/>
  <c r="W14" i="2"/>
  <c r="V14" i="2"/>
  <c r="W13" i="2"/>
  <c r="V13" i="2"/>
  <c r="W12" i="2"/>
  <c r="V12" i="2"/>
  <c r="W11" i="2"/>
  <c r="V11" i="2"/>
  <c r="W10" i="2"/>
  <c r="V10" i="2"/>
  <c r="W9" i="2"/>
  <c r="V9" i="2"/>
  <c r="W8" i="2"/>
  <c r="V8" i="2"/>
  <c r="W7" i="2"/>
  <c r="V7" i="2"/>
  <c r="W6" i="2"/>
  <c r="V6" i="2"/>
  <c r="W5" i="2"/>
  <c r="V5" i="2"/>
  <c r="W4" i="2"/>
  <c r="V4" i="2"/>
  <c r="W3" i="2"/>
  <c r="V3" i="2"/>
  <c r="W2" i="2"/>
  <c r="V2" i="2"/>
</calcChain>
</file>

<file path=xl/sharedStrings.xml><?xml version="1.0" encoding="utf-8"?>
<sst xmlns="http://schemas.openxmlformats.org/spreadsheetml/2006/main" count="1248" uniqueCount="341">
  <si>
    <t>relative_path</t>
  </si>
  <si>
    <t>Folder</t>
  </si>
  <si>
    <t>Seed</t>
  </si>
  <si>
    <t>Code</t>
  </si>
  <si>
    <t>Minimum number of qubits</t>
  </si>
  <si>
    <t>Network Architecture</t>
  </si>
  <si>
    <t>Use pretrained emcoder</t>
  </si>
  <si>
    <t>Encoder lr factor</t>
  </si>
  <si>
    <t>Freeze until ?</t>
  </si>
  <si>
    <t>Encoder</t>
  </si>
  <si>
    <t>Entropy eps</t>
  </si>
  <si>
    <t>Status</t>
  </si>
  <si>
    <t>eval_rollout_length</t>
  </si>
  <si>
    <t>Plot</t>
  </si>
  <si>
    <t>Data</t>
  </si>
  <si>
    <t>reinforcementlearning\2026-07-27_21-48-42_1172807</t>
  </si>
  <si>
    <t>c:/users/omer/rl-qecc-data/reinforcementLearning\2026-07-27_21-48-42_1172807</t>
  </si>
  <si>
    <t>9,6</t>
  </si>
  <si>
    <t>hybrid</t>
  </si>
  <si>
    <t>Yes</t>
  </si>
  <si>
    <t>2026-07-12_20-18-32/surrogate_6x6.pth</t>
  </si>
  <si>
    <t>Done</t>
  </si>
  <si>
    <t>reinforcementlearning\2026-07-27_21-48-42_1172833</t>
  </si>
  <si>
    <t>c:/users/omer/rl-qecc-data/reinforcementLearning\2026-07-27_21-48-42_1172833</t>
  </si>
  <si>
    <t>reinforcementlearning\2026-07-27_21-48-42_1172859</t>
  </si>
  <si>
    <t>c:/users/omer/rl-qecc-data/reinforcementLearning\2026-07-27_21-48-42_1172859</t>
  </si>
  <si>
    <t>reinforcementlearning\2026-07-27_21-48-44_1172885</t>
  </si>
  <si>
    <t>c:/users/omer/rl-qecc-data/reinforcementLearning\2026-07-27_21-48-44_1172885</t>
  </si>
  <si>
    <t>reinforcementlearning\2026-07-27_21-48-47_1172914</t>
  </si>
  <si>
    <t>c:/users/omer/rl-qecc-data/reinforcementLearning\2026-07-27_21-48-47_1172914</t>
  </si>
  <si>
    <t>reinforcementlearning\2026-07-27_21-48-51_1172941</t>
  </si>
  <si>
    <t>c:/users/omer/rl-qecc-data/reinforcementLearning\2026-07-27_21-48-51_1172941</t>
  </si>
  <si>
    <t>reinforcementlearning\2026-07-27_21-48-54_1173000</t>
  </si>
  <si>
    <t>c:/users/omer/rl-qecc-data/reinforcementLearning\2026-07-27_21-48-54_1173000</t>
  </si>
  <si>
    <t>reinforcementlearning\2026-07-27_21-48-56_1173035</t>
  </si>
  <si>
    <t>c:/users/omer/rl-qecc-data/reinforcementLearning\2026-07-27_21-48-56_1173035</t>
  </si>
  <si>
    <t>reinforcementlearning\2026-07-27_21-48-59_1173071</t>
  </si>
  <si>
    <t>c:/users/omer/rl-qecc-data/reinforcementLearning\2026-07-27_21-48-59_1173071</t>
  </si>
  <si>
    <t>reinforcementlearning\2026-07-27_21-49-02_1173109</t>
  </si>
  <si>
    <t>c:/users/omer/rl-qecc-data/reinforcementLearning\2026-07-27_21-49-02_1173109</t>
  </si>
  <si>
    <t>reinforcementlearning\2026-07-27_21-49-05_1173144</t>
  </si>
  <si>
    <t>c:/users/omer/rl-qecc-data/reinforcementLearning\2026-07-27_21-49-05_1173144</t>
  </si>
  <si>
    <t>reinforcementlearning\2026-07-27_21-49-09_1173179</t>
  </si>
  <si>
    <t>c:/users/omer/rl-qecc-data/reinforcementLearning\2026-07-27_21-49-09_1173179</t>
  </si>
  <si>
    <t>reinforcementlearning\2026-07-27_21-50-10_734813</t>
  </si>
  <si>
    <t>c:/users/omer/rl-qecc-data/reinforcementLearning\2026-07-27_21-50-10_734813</t>
  </si>
  <si>
    <t>2026-07-12_21-15-58/surrogate_6x6.pth</t>
  </si>
  <si>
    <t>reinforcementlearning\2026-07-27_21-50-10_734850</t>
  </si>
  <si>
    <t>c:/users/omer/rl-qecc-data/reinforcementLearning\2026-07-27_21-50-10_734850</t>
  </si>
  <si>
    <t>reinforcementlearning\2026-07-27_21-50-10_734883</t>
  </si>
  <si>
    <t>c:/users/omer/rl-qecc-data/reinforcementLearning\2026-07-27_21-50-10_734883</t>
  </si>
  <si>
    <t>reinforcementlearning\2026-07-27_21-50-13_734914</t>
  </si>
  <si>
    <t>c:/users/omer/rl-qecc-data/reinforcementLearning\2026-07-27_21-50-13_734914</t>
  </si>
  <si>
    <t>reinforcementlearning\2026-07-27_21-50-16_734943</t>
  </si>
  <si>
    <t>c:/users/omer/rl-qecc-data/reinforcementLearning\2026-07-27_21-50-16_734943</t>
  </si>
  <si>
    <t>reinforcementlearning\2026-07-27_21-50-20_734978</t>
  </si>
  <si>
    <t>c:/users/omer/rl-qecc-data/reinforcementLearning\2026-07-27_21-50-20_734978</t>
  </si>
  <si>
    <t>reinforcementlearning\2026-07-27_21-50-23_735045</t>
  </si>
  <si>
    <t>c:/users/omer/rl-qecc-data/reinforcementLearning\2026-07-27_21-50-23_735045</t>
  </si>
  <si>
    <t>reinforcementlearning\2026-07-27_21-50-26_735091</t>
  </si>
  <si>
    <t>c:/users/omer/rl-qecc-data/reinforcementLearning\2026-07-27_21-50-26_735091</t>
  </si>
  <si>
    <t>reinforcementlearning\2026-07-27_21-50-28_735131</t>
  </si>
  <si>
    <t>c:/users/omer/rl-qecc-data/reinforcementLearning\2026-07-27_21-50-28_735131</t>
  </si>
  <si>
    <t>reinforcementlearning\2026-07-27_21-50-32_735172</t>
  </si>
  <si>
    <t>c:/users/omer/rl-qecc-data/reinforcementLearning\2026-07-27_21-50-32_735172</t>
  </si>
  <si>
    <t>reinforcementlearning\2026-07-27_21-50-34_735210</t>
  </si>
  <si>
    <t>c:/users/omer/rl-qecc-data/reinforcementLearning\2026-07-27_21-50-34_735210</t>
  </si>
  <si>
    <t>reinforcementlearning\2026-08-02_14-39-04_1157089</t>
  </si>
  <si>
    <t>c:/users/omer/rl-qecc-data/reinforcementLearning\2026-08-02_14-39-04_1157089</t>
  </si>
  <si>
    <t>6,6</t>
  </si>
  <si>
    <t>sweep2/g5_ground_anch_H3_s54321.pth</t>
  </si>
  <si>
    <t>reinforcementlearning\2026-08-02_14-39-04_1157123</t>
  </si>
  <si>
    <t>c:/users/omer/rl-qecc-data/reinforcementLearning\2026-08-02_14-39-04_1157123</t>
  </si>
  <si>
    <t>reinforcementlearning\2026-08-02_14-39-04_1157150</t>
  </si>
  <si>
    <t>c:/users/omer/rl-qecc-data/reinforcementLearning\2026-08-02_14-39-04_1157150</t>
  </si>
  <si>
    <t>reinforcementlearning\2026-08-02_14-39-04_1157180</t>
  </si>
  <si>
    <t>c:/users/omer/rl-qecc-data/reinforcementLearning\2026-08-02_14-39-04_1157180</t>
  </si>
  <si>
    <t>reinforcementlearning\2026-08-02_14-39-04_1157207</t>
  </si>
  <si>
    <t>c:/users/omer/rl-qecc-data/reinforcementLearning\2026-08-02_14-39-04_1157207</t>
  </si>
  <si>
    <t>reinforcementlearning\2026-08-02_14-39-04_1157237</t>
  </si>
  <si>
    <t>c:/users/omer/rl-qecc-data/reinforcementLearning\2026-08-02_14-39-04_1157237</t>
  </si>
  <si>
    <t>reinforcementlearning\2026-08-02_14-39-04_1628429</t>
  </si>
  <si>
    <t>c:/users/omer/rl-qecc-data/reinforcementLearning\2026-08-02_14-39-04_1628429</t>
  </si>
  <si>
    <t>sweep2/g5_mix_66_H3_s54321.pth</t>
  </si>
  <si>
    <t>reinforcementlearning\2026-08-02_14-39-04_1628458</t>
  </si>
  <si>
    <t>c:/users/omer/rl-qecc-data/reinforcementLearning\2026-08-02_14-39-04_1628458</t>
  </si>
  <si>
    <t>reinforcementlearning\2026-08-02_14-39-04_1628487</t>
  </si>
  <si>
    <t>c:/users/omer/rl-qecc-data/reinforcementLearning\2026-08-02_14-39-04_1628487</t>
  </si>
  <si>
    <t>reinforcementlearning\2026-08-02_14-39-04_1628515</t>
  </si>
  <si>
    <t>c:/users/omer/rl-qecc-data/reinforcementLearning\2026-08-02_14-39-04_1628515</t>
  </si>
  <si>
    <t>reinforcementlearning\2026-08-02_14-39-04_1628546</t>
  </si>
  <si>
    <t>c:/users/omer/rl-qecc-data/reinforcementLearning\2026-08-02_14-39-04_1628546</t>
  </si>
  <si>
    <t>reinforcementlearning\2026-08-02_14-39-04_1628573</t>
  </si>
  <si>
    <t>c:/users/omer/rl-qecc-data/reinforcementLearning\2026-08-02_14-39-04_1628573</t>
  </si>
  <si>
    <t>reinforcementlearning\2026-08-02_14-39-04_418166</t>
  </si>
  <si>
    <t>c:/users/omer/rl-qecc-data/reinforcementLearning\2026-08-02_14-39-04_418166</t>
  </si>
  <si>
    <t>sweep2/g5_ground_anch_H7_s466555.pth</t>
  </si>
  <si>
    <t>reinforcementlearning\2026-08-02_14-39-04_418194</t>
  </si>
  <si>
    <t>c:/users/omer/rl-qecc-data/reinforcementLearning\2026-08-02_14-39-04_418194</t>
  </si>
  <si>
    <t>reinforcementlearning\2026-08-02_14-39-04_418220</t>
  </si>
  <si>
    <t>c:/users/omer/rl-qecc-data/reinforcementLearning\2026-08-02_14-39-04_418220</t>
  </si>
  <si>
    <t>reinforcementlearning\2026-08-02_14-39-04_418247</t>
  </si>
  <si>
    <t>c:/users/omer/rl-qecc-data/reinforcementLearning\2026-08-02_14-39-04_418247</t>
  </si>
  <si>
    <t>reinforcementlearning\2026-08-02_14-39-04_418276</t>
  </si>
  <si>
    <t>c:/users/omer/rl-qecc-data/reinforcementLearning\2026-08-02_14-39-04_418276</t>
  </si>
  <si>
    <t>reinforcementlearning\2026-08-02_14-39-04_418305</t>
  </si>
  <si>
    <t>c:/users/omer/rl-qecc-data/reinforcementLearning\2026-08-02_14-39-04_418305</t>
  </si>
  <si>
    <t>reinforcementlearning\2026-08-02_21-18-53_453521</t>
  </si>
  <si>
    <t>c:/users/omer/rl-qecc-data/reinforcementLearning\2026-08-02_21-18-53_453521</t>
  </si>
  <si>
    <t>sweep2/g5_ground_anch_H7_s54321.pth</t>
  </si>
  <si>
    <t>reinforcementlearning\2026-08-02_21-18-53_453549</t>
  </si>
  <si>
    <t>c:/users/omer/rl-qecc-data/reinforcementLearning\2026-08-02_21-18-53_453549</t>
  </si>
  <si>
    <t>reinforcementlearning\2026-08-02_21-18-53_453576</t>
  </si>
  <si>
    <t>c:/users/omer/rl-qecc-data/reinforcementLearning\2026-08-02_21-18-53_453576</t>
  </si>
  <si>
    <t>reinforcementlearning\2026-08-02_21-18-53_453605</t>
  </si>
  <si>
    <t>c:/users/omer/rl-qecc-data/reinforcementLearning\2026-08-02_21-18-53_453605</t>
  </si>
  <si>
    <t>reinforcementlearning\2026-08-02_21-18-53_453631</t>
  </si>
  <si>
    <t>c:/users/omer/rl-qecc-data/reinforcementLearning\2026-08-02_21-18-53_453631</t>
  </si>
  <si>
    <t>reinforcementlearning\2026-08-02_21-18-53_453658</t>
  </si>
  <si>
    <t>c:/users/omer/rl-qecc-data/reinforcementLearning\2026-08-02_21-18-53_453658</t>
  </si>
  <si>
    <t>reinforcementlearning\2026-08-02_21-47-54_1667237</t>
  </si>
  <si>
    <t>c:/users/omer/rl-qecc-data/reinforcementLearning\2026-08-02_21-47-54_1667237</t>
  </si>
  <si>
    <t>sweep2/g5_ground_pure_H7_s466555.pth</t>
  </si>
  <si>
    <t>reinforcementlearning\2026-08-02_21-47-56_1667265</t>
  </si>
  <si>
    <t>c:/users/omer/rl-qecc-data/reinforcementLearning\2026-08-02_21-47-56_1667265</t>
  </si>
  <si>
    <t>reinforcementlearning\2026-08-02_21-47-59_1667293</t>
  </si>
  <si>
    <t>c:/users/omer/rl-qecc-data/reinforcementLearning\2026-08-02_21-47-59_1667293</t>
  </si>
  <si>
    <t>reinforcementlearning\2026-08-02_21-48-03_1667339</t>
  </si>
  <si>
    <t>c:/users/omer/rl-qecc-data/reinforcementLearning\2026-08-02_21-48-03_1667339</t>
  </si>
  <si>
    <t>reinforcementlearning\2026-08-02_21-48-07_1667392</t>
  </si>
  <si>
    <t>c:/users/omer/rl-qecc-data/reinforcementLearning\2026-08-02_21-48-07_1667392</t>
  </si>
  <si>
    <t>reinforcementlearning\2026-08-02_21-48-09_1667450</t>
  </si>
  <si>
    <t>c:/users/omer/rl-qecc-data/reinforcementLearning\2026-08-02_21-48-09_1667450</t>
  </si>
  <si>
    <t>reinforcementlearning\2026-08-02_21-54-41_1194894</t>
  </si>
  <si>
    <t>c:/users/omer/rl-qecc-data/reinforcementLearning\2026-08-02_21-54-41_1194894</t>
  </si>
  <si>
    <t>sweep2/g5_mix_66_H7_s466555.pth</t>
  </si>
  <si>
    <t>reinforcementlearning\2026-08-02_21-54-42_1194923</t>
  </si>
  <si>
    <t>c:/users/omer/rl-qecc-data/reinforcementLearning\2026-08-02_21-54-42_1194923</t>
  </si>
  <si>
    <t>reinforcementlearning\2026-08-02_21-54-46_1194957</t>
  </si>
  <si>
    <t>c:/users/omer/rl-qecc-data/reinforcementLearning\2026-08-02_21-54-46_1194957</t>
  </si>
  <si>
    <t>reinforcementlearning\2026-08-02_21-54-50_1195004</t>
  </si>
  <si>
    <t>c:/users/omer/rl-qecc-data/reinforcementLearning\2026-08-02_21-54-50_1195004</t>
  </si>
  <si>
    <t>reinforcementlearning\2026-08-02_21-54-53_1195062</t>
  </si>
  <si>
    <t>c:/users/omer/rl-qecc-data/reinforcementLearning\2026-08-02_21-54-53_1195062</t>
  </si>
  <si>
    <t>reinforcementlearning\2026-08-02_21-54-56_1195110</t>
  </si>
  <si>
    <t>c:/users/omer/rl-qecc-data/reinforcementLearning\2026-08-02_21-54-56_1195110</t>
  </si>
  <si>
    <t>reinforcementlearning\2026-08-03_04-23-09_489753</t>
  </si>
  <si>
    <t>c:/users/omer/rl-qecc-data/reinforcementLearning\2026-08-03_04-23-09_489753</t>
  </si>
  <si>
    <t>sweep2/g5_mix_66_H7_s54321.pth</t>
  </si>
  <si>
    <t>reinforcementlearning\2026-08-03_04-23-09_489781</t>
  </si>
  <si>
    <t>c:/users/omer/rl-qecc-data/reinforcementLearning\2026-08-03_04-23-09_489781</t>
  </si>
  <si>
    <t>reinforcementlearning\2026-08-03_04-23-09_489809</t>
  </si>
  <si>
    <t>c:/users/omer/rl-qecc-data/reinforcementLearning\2026-08-03_04-23-09_489809</t>
  </si>
  <si>
    <t>reinforcementlearning\2026-08-03_04-23-09_489837</t>
  </si>
  <si>
    <t>c:/users/omer/rl-qecc-data/reinforcementLearning\2026-08-03_04-23-09_489837</t>
  </si>
  <si>
    <t>reinforcementlearning\2026-08-03_04-23-09_489864</t>
  </si>
  <si>
    <t>c:/users/omer/rl-qecc-data/reinforcementLearning\2026-08-03_04-23-09_489864</t>
  </si>
  <si>
    <t>reinforcementlearning\2026-08-03_04-23-09_489890</t>
  </si>
  <si>
    <t>c:/users/omer/rl-qecc-data/reinforcementLearning\2026-08-03_04-23-09_489890</t>
  </si>
  <si>
    <t>reinforcementlearning\2026-08-03_04-31-43_1700848</t>
  </si>
  <si>
    <t>c:/users/omer/rl-qecc-data/reinforcementLearning\2026-08-03_04-31-43_1700848</t>
  </si>
  <si>
    <t>sweep2/g5_mix_66-96_H7_s54321.pth</t>
  </si>
  <si>
    <t>reinforcementlearning\2026-08-03_04-31-45_1700876</t>
  </si>
  <si>
    <t>c:/users/omer/rl-qecc-data/reinforcementLearning\2026-08-03_04-31-45_1700876</t>
  </si>
  <si>
    <t>reinforcementlearning\2026-08-03_04-31-48_1700906</t>
  </si>
  <si>
    <t>c:/users/omer/rl-qecc-data/reinforcementLearning\2026-08-03_04-31-48_1700906</t>
  </si>
  <si>
    <t>reinforcementlearning\2026-08-03_04-31-53_1700948</t>
  </si>
  <si>
    <t>c:/users/omer/rl-qecc-data/reinforcementLearning\2026-08-03_04-31-53_1700948</t>
  </si>
  <si>
    <t>reinforcementlearning\2026-08-03_04-31-56_1701013</t>
  </si>
  <si>
    <t>c:/users/omer/rl-qecc-data/reinforcementLearning\2026-08-03_04-31-56_1701013</t>
  </si>
  <si>
    <t>reinforcementlearning\2026-08-03_04-31-59_1701069</t>
  </si>
  <si>
    <t>c:/users/omer/rl-qecc-data/reinforcementLearning\2026-08-03_04-31-59_1701069</t>
  </si>
  <si>
    <t>reinforcementlearning\2026-08-03_04-33-44_1228992</t>
  </si>
  <si>
    <t>c:/users/omer/rl-qecc-data/reinforcementLearning\2026-08-03_04-33-44_1228992</t>
  </si>
  <si>
    <t>sweep2/g5_mix_66-96_H6_s3000.pth</t>
  </si>
  <si>
    <t>reinforcementlearning\2026-08-03_04-33-45_1229022</t>
  </si>
  <si>
    <t>c:/users/omer/rl-qecc-data/reinforcementLearning\2026-08-03_04-33-45_1229022</t>
  </si>
  <si>
    <t>reinforcementlearning\2026-08-03_04-33-48_1229052</t>
  </si>
  <si>
    <t>c:/users/omer/rl-qecc-data/reinforcementLearning\2026-08-03_04-33-48_1229052</t>
  </si>
  <si>
    <t>reinforcementlearning\2026-08-03_04-33-53_1229089</t>
  </si>
  <si>
    <t>c:/users/omer/rl-qecc-data/reinforcementLearning\2026-08-03_04-33-53_1229089</t>
  </si>
  <si>
    <t>reinforcementlearning\2026-08-03_04-33-56_1229157</t>
  </si>
  <si>
    <t>c:/users/omer/rl-qecc-data/reinforcementLearning\2026-08-03_04-33-56_1229157</t>
  </si>
  <si>
    <t>reinforcementlearning\2026-08-03_04-33-59_1229210</t>
  </si>
  <si>
    <t>c:/users/omer/rl-qecc-data/reinforcementLearning\2026-08-03_04-33-59_1229210</t>
  </si>
  <si>
    <t>reinforcementlearning\2026-08-03_11-36-46_526674</t>
  </si>
  <si>
    <t>c:/users/omer/rl-qecc-data/reinforcementLearning\2026-08-03_11-36-46_526674</t>
  </si>
  <si>
    <t>sweep2/g5_mix_66-96_H4_s4000.pth</t>
  </si>
  <si>
    <t>reinforcementlearning\2026-08-03_11-36-46_526701</t>
  </si>
  <si>
    <t>c:/users/omer/rl-qecc-data/reinforcementLearning\2026-08-03_11-36-46_526701</t>
  </si>
  <si>
    <t>reinforcementlearning\2026-08-03_11-36-46_526729</t>
  </si>
  <si>
    <t>c:/users/omer/rl-qecc-data/reinforcementLearning\2026-08-03_11-36-46_526729</t>
  </si>
  <si>
    <t>reinforcementlearning\2026-08-03_11-36-46_526756</t>
  </si>
  <si>
    <t>c:/users/omer/rl-qecc-data/reinforcementLearning\2026-08-03_11-36-46_526756</t>
  </si>
  <si>
    <t>reinforcementlearning\2026-08-03_11-36-46_526783</t>
  </si>
  <si>
    <t>c:/users/omer/rl-qecc-data/reinforcementLearning\2026-08-03_11-36-46_526783</t>
  </si>
  <si>
    <t>reinforcementlearning\2026-08-03_11-36-46_526813</t>
  </si>
  <si>
    <t>c:/users/omer/rl-qecc-data/reinforcementLearning\2026-08-03_11-36-46_526813</t>
  </si>
  <si>
    <t>reinforcementlearning\2026-08-03_19-28-13_225320</t>
  </si>
  <si>
    <t>c:/users/omer/rl-qecc-data/reinforcementLearning\2026-08-03_19-28-13_225320</t>
  </si>
  <si>
    <t>sweep2/g5_mix_66-96_H10_s2000.pth</t>
  </si>
  <si>
    <t>reinforcementlearning\2026-08-03_19-28-13_225379</t>
  </si>
  <si>
    <t>c:/users/omer/rl-qecc-data/reinforcementLearning\2026-08-03_19-28-13_225379</t>
  </si>
  <si>
    <t>reinforcementlearning\2026-08-03_19-28-13_225405</t>
  </si>
  <si>
    <t>c:/users/omer/rl-qecc-data/reinforcementLearning\2026-08-03_19-28-13_225405</t>
  </si>
  <si>
    <t>reinforcementlearning\2026-08-03_19-28-13_225431</t>
  </si>
  <si>
    <t>c:/users/omer/rl-qecc-data/reinforcementLearning\2026-08-03_19-28-13_225431</t>
  </si>
  <si>
    <t>reinforcementlearning\2026-08-03_19-34-11_1777424</t>
  </si>
  <si>
    <t>c:/users/omer/rl-qecc-data/reinforcementLearning\2026-08-03_19-34-11_1777424</t>
  </si>
  <si>
    <t>reinforcementlearning\2026-08-03_19-34-11_1777453</t>
  </si>
  <si>
    <t>c:/users/omer/rl-qecc-data/reinforcementLearning\2026-08-03_19-34-11_1777453</t>
  </si>
  <si>
    <t>reinforcementlearning\2026-08-03_19-34-11_1777491</t>
  </si>
  <si>
    <t>c:/users/omer/rl-qecc-data/reinforcementLearning\2026-08-03_19-34-11_1777491</t>
  </si>
  <si>
    <t>reinforcementlearning\2026-08-03_19-34-11_1777526</t>
  </si>
  <si>
    <t>c:/users/omer/rl-qecc-data/reinforcementLearning\2026-08-03_19-34-11_1777526</t>
  </si>
  <si>
    <t>reinforcementlearning\2026-08-03_19-34-15_1777554</t>
  </si>
  <si>
    <t>c:/users/omer/rl-qecc-data/reinforcementLearning\2026-08-03_19-34-15_1777554</t>
  </si>
  <si>
    <t>reinforcementlearning\2026-08-03_19-34-19_1777589</t>
  </si>
  <si>
    <t>c:/users/omer/rl-qecc-data/reinforcementLearning\2026-08-03_19-34-19_1777589</t>
  </si>
  <si>
    <t>reinforcementlearning\2026-08-05_11-56-40_1417601</t>
  </si>
  <si>
    <t>c:/users/omer/rl-qecc-data/reinforcementLearning\2026-08-05_11-56-40_1417601</t>
  </si>
  <si>
    <t>reinforcementlearning\2026-08-05_11-56-40_1417629</t>
  </si>
  <si>
    <t>c:/users/omer/rl-qecc-data/reinforcementLearning\2026-08-05_11-56-40_1417629</t>
  </si>
  <si>
    <t>reinforcementlearning\2026-08-05_11-56-40_1417662</t>
  </si>
  <si>
    <t>c:/users/omer/rl-qecc-data/reinforcementLearning\2026-08-05_11-56-40_1417662</t>
  </si>
  <si>
    <t>reinforcementlearning\2026-08-05_11-56-42_1417690</t>
  </si>
  <si>
    <t>c:/users/omer/rl-qecc-data/reinforcementLearning\2026-08-05_11-56-42_1417690</t>
  </si>
  <si>
    <t>reinforcementlearning\2026-08-05_11-56-42_1924827</t>
  </si>
  <si>
    <t>c:/users/omer/rl-qecc-data/reinforcementLearning\2026-08-05_11-56-42_1924827</t>
  </si>
  <si>
    <t>reinforcementlearning\2026-08-05_11-56-42_1924859</t>
  </si>
  <si>
    <t>c:/users/omer/rl-qecc-data/reinforcementLearning\2026-08-05_11-56-42_1924859</t>
  </si>
  <si>
    <t>reinforcementlearning\2026-08-05_11-56-42_1924887</t>
  </si>
  <si>
    <t>c:/users/omer/rl-qecc-data/reinforcementLearning\2026-08-05_11-56-42_1924887</t>
  </si>
  <si>
    <t>reinforcementlearning\2026-08-05_11-56-45_1924915</t>
  </si>
  <si>
    <t>c:/users/omer/rl-qecc-data/reinforcementLearning\2026-08-05_11-56-45_1924915</t>
  </si>
  <si>
    <t>reinforcementlearning\2026-08-05_11-56-46_1417727</t>
  </si>
  <si>
    <t>c:/users/omer/rl-qecc-data/reinforcementLearning\2026-08-05_11-56-46_1417727</t>
  </si>
  <si>
    <t>reinforcementlearning\2026-08-05_11-56-51_1924950</t>
  </si>
  <si>
    <t>c:/users/omer/rl-qecc-data/reinforcementLearning\2026-08-05_11-56-51_1924950</t>
  </si>
  <si>
    <t>reinforcementlearning\2026-08-05_11-56-52_1417760</t>
  </si>
  <si>
    <t>c:/users/omer/rl-qecc-data/reinforcementLearning\2026-08-05_11-56-52_1417760</t>
  </si>
  <si>
    <t>reinforcementlearning\2026-08-05_11-56-54_1925040</t>
  </si>
  <si>
    <t>c:/users/omer/rl-qecc-data/reinforcementLearning\2026-08-05_11-56-54_1925040</t>
  </si>
  <si>
    <t>reinforcementlearning\2026-08-05_11-57-21_692662</t>
  </si>
  <si>
    <t>c:/users/omer/rl-qecc-data/reinforcementLearning\2026-08-05_11-57-21_692662</t>
  </si>
  <si>
    <t>reinforcementlearning\2026-08-05_11-57-21_692690</t>
  </si>
  <si>
    <t>c:/users/omer/rl-qecc-data/reinforcementLearning\2026-08-05_11-57-21_692690</t>
  </si>
  <si>
    <t>reinforcementlearning\2026-08-05_11-57-21_692715</t>
  </si>
  <si>
    <t>c:/users/omer/rl-qecc-data/reinforcementLearning\2026-08-05_11-57-21_692715</t>
  </si>
  <si>
    <t>reinforcementlearning\2026-08-05_11-57-21_692746</t>
  </si>
  <si>
    <t>c:/users/omer/rl-qecc-data/reinforcementLearning\2026-08-05_11-57-21_692746</t>
  </si>
  <si>
    <t>reinforcementlearning\2026-08-05_11-57-21_692774</t>
  </si>
  <si>
    <t>c:/users/omer/rl-qecc-data/reinforcementLearning\2026-08-05_11-57-21_692774</t>
  </si>
  <si>
    <t>reinforcementlearning\2026-08-05_11-57-21_692801</t>
  </si>
  <si>
    <t>c:/users/omer/rl-qecc-data/reinforcementLearning\2026-08-05_11-57-21_692801</t>
  </si>
  <si>
    <t>reinforcementlearning\2026-08-05_16-46-23_3905732</t>
  </si>
  <si>
    <t>c:/users/omer/rl-qecc-data/reinforcementLearning\2026-08-05_16-46-23_3905732</t>
  </si>
  <si>
    <t>reinforcementlearning\2026-08-05_16-47-28_3955272</t>
  </si>
  <si>
    <t>c:/users/omer/rl-qecc-data/reinforcementLearning\2026-08-05_16-47-28_3955272</t>
  </si>
  <si>
    <t>reinforcementlearning\2026-08-05_16-48-52_4003461</t>
  </si>
  <si>
    <t>c:/users/omer/rl-qecc-data/reinforcementLearning\2026-08-05_16-48-52_4003461</t>
  </si>
  <si>
    <t>reinforcementlearning\2026-08-06_03-02-16_2002194</t>
  </si>
  <si>
    <t>c:/users/omer/rl-qecc-data/reinforcementLearning\2026-08-06_03-02-16_2002194</t>
  </si>
  <si>
    <t>reinforcementlearning\2026-08-06_03-02-16_2002221</t>
  </si>
  <si>
    <t>c:/users/omer/rl-qecc-data/reinforcementLearning\2026-08-06_03-02-16_2002221</t>
  </si>
  <si>
    <t>reinforcementlearning\2026-08-06_03-02-16_2002254</t>
  </si>
  <si>
    <t>c:/users/omer/rl-qecc-data/reinforcementLearning\2026-08-06_03-02-16_2002254</t>
  </si>
  <si>
    <t>reinforcementlearning\2026-08-06_03-02-16_2002285</t>
  </si>
  <si>
    <t>c:/users/omer/rl-qecc-data/reinforcementLearning\2026-08-06_03-02-16_2002285</t>
  </si>
  <si>
    <t>reinforcementlearning\2026-08-06_03-02-17_2002313</t>
  </si>
  <si>
    <t>c:/users/omer/rl-qecc-data/reinforcementLearning\2026-08-06_03-02-17_2002313</t>
  </si>
  <si>
    <t>reinforcementlearning\2026-08-06_03-02-21_2002340</t>
  </si>
  <si>
    <t>c:/users/omer/rl-qecc-data/reinforcementLearning\2026-08-06_03-02-21_2002340</t>
  </si>
  <si>
    <t>reinforcementlearning\2026-08-06_03-20-52_1495640</t>
  </si>
  <si>
    <t>c:/users/omer/rl-qecc-data/reinforcementLearning\2026-08-06_03-20-52_1495640</t>
  </si>
  <si>
    <t>reinforcementlearning\2026-08-06_03-20-53_1495667</t>
  </si>
  <si>
    <t>c:/users/omer/rl-qecc-data/reinforcementLearning\2026-08-06_03-20-53_1495667</t>
  </si>
  <si>
    <t>reinforcementlearning\2026-08-06_03-20-56_1495696</t>
  </si>
  <si>
    <t>c:/users/omer/rl-qecc-data/reinforcementLearning\2026-08-06_03-20-56_1495696</t>
  </si>
  <si>
    <t>reinforcementlearning\2026-08-06_03-21-00_1495728</t>
  </si>
  <si>
    <t>c:/users/omer/rl-qecc-data/reinforcementLearning\2026-08-06_03-21-00_1495728</t>
  </si>
  <si>
    <t>reinforcementlearning\2026-08-06_03-21-04_1495802</t>
  </si>
  <si>
    <t>c:/users/omer/rl-qecc-data/reinforcementLearning\2026-08-06_03-21-04_1495802</t>
  </si>
  <si>
    <t>reinforcementlearning\2026-08-06_03-21-07_1495859</t>
  </si>
  <si>
    <t>c:/users/omer/rl-qecc-data/reinforcementLearning\2026-08-06_03-21-07_1495859</t>
  </si>
  <si>
    <t>reinforcementlearning\2026-07-29_17-22-40_1318253</t>
  </si>
  <si>
    <t>c:/users/omer/rl-qecc-data/reinforcementLearning\2026-07-29_17-22-40_1318253</t>
  </si>
  <si>
    <t>reinforcementlearning\2026-07-29_17-22-40_1318281</t>
  </si>
  <si>
    <t>c:/users/omer/rl-qecc-data/reinforcementLearning\2026-07-29_17-22-40_1318281</t>
  </si>
  <si>
    <t>reinforcementlearning\2026-07-29_17-22-40_1318308</t>
  </si>
  <si>
    <t>c:/users/omer/rl-qecc-data/reinforcementLearning\2026-07-29_17-22-40_1318308</t>
  </si>
  <si>
    <t>reinforcementlearning\2026-07-29_17-22-40_1318336</t>
  </si>
  <si>
    <t>c:/users/omer/rl-qecc-data/reinforcementLearning\2026-07-29_17-22-40_1318336</t>
  </si>
  <si>
    <t>reinforcementlearning\2026-07-29_17-22-40_1318363</t>
  </si>
  <si>
    <t>c:/users/omer/rl-qecc-data/reinforcementLearning\2026-07-29_17-22-40_1318363</t>
  </si>
  <si>
    <t>reinforcementlearning\2026-07-29_17-22-41_1318390</t>
  </si>
  <si>
    <t>c:/users/omer/rl-qecc-data/reinforcementLearning\2026-07-29_17-22-41_1318390</t>
  </si>
  <si>
    <t>reinforcementlearning\2026-07-29_17-22-45_1318420</t>
  </si>
  <si>
    <t>c:/users/omer/rl-qecc-data/reinforcementLearning\2026-07-29_17-22-45_1318420</t>
  </si>
  <si>
    <t>reinforcementlearning\2026-07-29_17-22-47_1318448</t>
  </si>
  <si>
    <t>c:/users/omer/rl-qecc-data/reinforcementLearning\2026-07-29_17-22-47_1318448</t>
  </si>
  <si>
    <t>reinforcementlearning\2026-07-29_17-22-50_1318475</t>
  </si>
  <si>
    <t>c:/users/omer/rl-qecc-data/reinforcementLearning\2026-07-29_17-22-50_1318475</t>
  </si>
  <si>
    <t>reinforcementlearning\2026-07-29_17-22-54_1318502</t>
  </si>
  <si>
    <t>c:/users/omer/rl-qecc-data/reinforcementLearning\2026-07-29_17-22-54_1318502</t>
  </si>
  <si>
    <t>reinforcementlearning\2026-07-29_17-22-57_1318528</t>
  </si>
  <si>
    <t>c:/users/omer/rl-qecc-data/reinforcementLearning\2026-07-29_17-22-57_1318528</t>
  </si>
  <si>
    <t>reinforcementlearning\2026-07-29_17-22-59_1318554</t>
  </si>
  <si>
    <t>c:/users/omer/rl-qecc-data/reinforcementLearning\2026-07-29_17-22-59_1318554</t>
  </si>
  <si>
    <t>Job name / folder name</t>
  </si>
  <si>
    <t>Number of qubits</t>
  </si>
  <si>
    <t>Network architecture</t>
  </si>
  <si>
    <t>Use pretrained encoder</t>
  </si>
  <si>
    <t>Running / processed</t>
  </si>
  <si>
    <t>Is good ?</t>
  </si>
  <si>
    <t>Comments</t>
  </si>
  <si>
    <t>C:\Users\Omer\rl-qecc-data\2026-07-15_06-24-42</t>
  </si>
  <si>
    <t>Hybrid</t>
  </si>
  <si>
    <t>C:\Users\Omer\rl-qecc-data\2026-07-14_22-01-03</t>
  </si>
  <si>
    <t>C:\Users\Omer\rl-qecc-data\2026-07-14_21-58-14</t>
  </si>
  <si>
    <t>C:\Users\Omer\rl-qecc-data\2026-07-14_21-41-33</t>
  </si>
  <si>
    <t>C:\Users\Omer\rl-qecc-data\2026-07-14_21-42-45</t>
  </si>
  <si>
    <t>C:\Users\Omer\rl-qecc-data\2026-07-14_21-42-52</t>
  </si>
  <si>
    <t>C:\Users\Omer\rl-qecc-data\2026-07-14_23-23-00</t>
  </si>
  <si>
    <t>C:\Users\Omer\rl-qecc-data\2026-07-15_13-49-55</t>
  </si>
  <si>
    <t>Not great</t>
  </si>
  <si>
    <t>Flat</t>
  </si>
  <si>
    <t>C:\Users\Omer\rl-qecc-data\2026-07-15_15-19-50_184940</t>
  </si>
  <si>
    <t>C:\Users\Omer\rl-qecc-data\2026-07-15_15-53-06_3953074</t>
  </si>
  <si>
    <t>C:\Users\Omer\rl-qecc-data\2026-07-15_07-12-39</t>
  </si>
  <si>
    <t>C:\Users\Omer\rl-qecc-data\2026-07-15_14-55-03_3158085</t>
  </si>
  <si>
    <t>2026-07-12_10-56-04/surrogate_6x6.pth</t>
  </si>
  <si>
    <t>15,3</t>
  </si>
  <si>
    <t>Yes (pretrained)</t>
  </si>
  <si>
    <t>C:\Users\Omer\rl-qecc-data\2026-07-15_20-20-03_3795808</t>
  </si>
  <si>
    <t>No</t>
  </si>
  <si>
    <t>C:\Users\Omer\rl-qecc-data\2026-07-15_23-52-37_217901</t>
  </si>
  <si>
    <t>C:\Users\Omer\rl-qecc-data\2026-07-04_21-14-02</t>
  </si>
  <si>
    <t>Month created</t>
  </si>
  <si>
    <t>July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</si>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</sst>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1" fillId="2" borderId="0" xfId="0" applyFont="1" applyFill="1"/>
    <xf numFmtId="0" fontId="1" fillId="3" borderId="0" xfId="0" applyFont="1" applyFill="1"/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1" fillId="4" borderId="0" xfId="0" applyFont="1" applyFill="1"/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1:W28"/>
  <sheetViews>
    <sheetView topLeftCell="L1" zoomScale="70" zoomScaleNormal="70" workbookViewId="0">
      <selection activeCell="H1" sqref="H1:U1"/>
    </sheetView>
  </sheetViews>
  <sheetFormatPr defaultRowHeight="20.95" x14ac:dyDescent="0.4"/>
  <cols>
    <col min="1" max="6" width="8.88671875" style="1" customWidth="1"/>
    <col min="7" max="7" width="5.5546875" style="1" customWidth="1"/>
    <col min="8" max="8" width="85.21875" style="1" customWidth="1"/>
    <col min="9" max="9" width="9.88671875" style="1" bestFit="1" customWidth="1"/>
    <col min="10" max="10" width="8.88671875" style="1" customWidth="1"/>
    <col min="11" max="11" width="31.21875" style="1" customWidth="1"/>
    <col min="12" max="12" width="32.44140625" style="1" customWidth="1"/>
    <col min="13" max="15" width="32.77734375" style="1" customWidth="1"/>
    <col min="16" max="16" width="29.6640625" style="1" customWidth="1"/>
    <col min="17" max="17" width="28.77734375" style="1" customWidth="1"/>
    <col min="18" max="18" width="24.77734375" style="1" customWidth="1"/>
    <col min="19" max="19" width="23.109375" style="1" customWidth="1"/>
    <col min="20" max="20" width="27.21875" style="1" customWidth="1"/>
    <col min="21" max="21" width="17.33203125" style="1" customWidth="1"/>
    <col min="22" max="22" width="30.109375" style="1" bestFit="1" customWidth="1"/>
    <col min="23" max="23" width="19.44140625" style="1" bestFit="1" customWidth="1"/>
    <col min="24" max="29" width="8.88671875" style="1" customWidth="1"/>
    <col min="30" max="16384" width="8.88671875" style="1"/>
  </cols>
  <sheetData>
    <row r="1" spans="8:23" ht="42.55" customHeight="1" thickBot="1" x14ac:dyDescent="0.45">
      <c r="H1" s="1" t="s">
        <v>309</v>
      </c>
      <c r="I1" s="2" t="s">
        <v>2</v>
      </c>
      <c r="J1" s="3" t="s">
        <v>3</v>
      </c>
      <c r="K1" s="3" t="s">
        <v>310</v>
      </c>
      <c r="L1" s="3"/>
      <c r="M1" s="3" t="s">
        <v>311</v>
      </c>
      <c r="N1" s="3" t="s">
        <v>312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313</v>
      </c>
      <c r="T1" s="3" t="s">
        <v>314</v>
      </c>
      <c r="U1" s="4" t="s">
        <v>315</v>
      </c>
      <c r="V1" t="s">
        <v>13</v>
      </c>
      <c r="W1" t="s">
        <v>14</v>
      </c>
    </row>
    <row r="2" spans="8:23" ht="42.55" customHeight="1" thickBot="1" x14ac:dyDescent="0.45">
      <c r="H2" s="9" t="s">
        <v>316</v>
      </c>
      <c r="I2" s="8">
        <v>460101</v>
      </c>
      <c r="J2" s="7" t="s">
        <v>17</v>
      </c>
      <c r="K2" s="7">
        <v>8</v>
      </c>
      <c r="L2" s="7"/>
      <c r="M2" s="7" t="s">
        <v>317</v>
      </c>
      <c r="N2" s="7"/>
      <c r="O2" s="7"/>
      <c r="P2" s="7"/>
      <c r="Q2" s="7" t="s">
        <v>20</v>
      </c>
      <c r="R2" s="7">
        <v>3.0000000000000001E-3</v>
      </c>
      <c r="S2" s="7" t="s">
        <v>21</v>
      </c>
      <c r="T2" s="7" t="s">
        <v>19</v>
      </c>
    </row>
    <row r="3" spans="8:23" ht="42.55" customHeight="1" thickBot="1" x14ac:dyDescent="0.45">
      <c r="H3" s="9" t="s">
        <v>318</v>
      </c>
      <c r="I3" s="8">
        <v>232323</v>
      </c>
      <c r="J3" s="7" t="s">
        <v>17</v>
      </c>
      <c r="K3" s="7">
        <v>8</v>
      </c>
      <c r="L3" s="7"/>
      <c r="M3" s="7" t="s">
        <v>18</v>
      </c>
      <c r="N3" s="7"/>
      <c r="O3" s="7"/>
      <c r="P3" s="7"/>
      <c r="Q3" s="7" t="s">
        <v>20</v>
      </c>
      <c r="R3" s="7">
        <v>3.0000000000000001E-3</v>
      </c>
      <c r="S3" s="7" t="s">
        <v>21</v>
      </c>
      <c r="T3" s="7" t="s">
        <v>19</v>
      </c>
    </row>
    <row r="4" spans="8:23" ht="42.55" customHeight="1" thickBot="1" x14ac:dyDescent="0.45">
      <c r="H4" s="9" t="s">
        <v>319</v>
      </c>
      <c r="I4" s="8">
        <v>111</v>
      </c>
      <c r="J4" s="7" t="s">
        <v>17</v>
      </c>
      <c r="K4" s="7">
        <v>8</v>
      </c>
      <c r="L4" s="7"/>
      <c r="M4" s="7" t="s">
        <v>317</v>
      </c>
      <c r="N4" s="7"/>
      <c r="O4" s="7"/>
      <c r="P4" s="7"/>
      <c r="Q4" s="7" t="s">
        <v>20</v>
      </c>
      <c r="R4" s="7">
        <v>3.0000000000000001E-3</v>
      </c>
      <c r="S4" s="7" t="s">
        <v>21</v>
      </c>
      <c r="T4" s="7" t="s">
        <v>19</v>
      </c>
    </row>
    <row r="5" spans="8:23" ht="42.55" customHeight="1" thickBot="1" x14ac:dyDescent="0.45">
      <c r="H5" s="7" t="s">
        <v>320</v>
      </c>
      <c r="I5" s="8">
        <v>2</v>
      </c>
      <c r="J5" s="7" t="s">
        <v>17</v>
      </c>
      <c r="K5" s="7">
        <v>8</v>
      </c>
      <c r="L5" s="7"/>
      <c r="M5" s="7" t="s">
        <v>18</v>
      </c>
      <c r="N5" s="7"/>
      <c r="O5" s="7"/>
      <c r="P5" s="7"/>
      <c r="Q5" s="7" t="s">
        <v>20</v>
      </c>
      <c r="R5" s="7">
        <v>3.0000000000000001E-3</v>
      </c>
      <c r="S5" s="7" t="s">
        <v>21</v>
      </c>
      <c r="T5" s="9" t="s">
        <v>19</v>
      </c>
    </row>
    <row r="6" spans="8:23" ht="42.55" customHeight="1" thickBot="1" x14ac:dyDescent="0.45">
      <c r="H6" s="9" t="s">
        <v>321</v>
      </c>
      <c r="I6" s="8">
        <v>90210</v>
      </c>
      <c r="J6" s="7" t="s">
        <v>17</v>
      </c>
      <c r="K6" s="7">
        <v>8</v>
      </c>
      <c r="L6" s="7"/>
      <c r="M6" s="7" t="s">
        <v>317</v>
      </c>
      <c r="N6" s="7"/>
      <c r="O6" s="7"/>
      <c r="P6" s="7"/>
      <c r="Q6" s="7" t="s">
        <v>20</v>
      </c>
      <c r="R6" s="7">
        <v>3.0000000000000001E-3</v>
      </c>
      <c r="S6" s="7" t="s">
        <v>21</v>
      </c>
      <c r="T6" s="7" t="s">
        <v>19</v>
      </c>
    </row>
    <row r="7" spans="8:23" ht="42.55" customHeight="1" thickBot="1" x14ac:dyDescent="0.45">
      <c r="H7" s="9" t="s">
        <v>322</v>
      </c>
      <c r="I7" s="8">
        <v>466555</v>
      </c>
      <c r="J7" s="7" t="s">
        <v>17</v>
      </c>
      <c r="K7" s="7">
        <v>8</v>
      </c>
      <c r="L7" s="7"/>
      <c r="M7" s="7" t="s">
        <v>18</v>
      </c>
      <c r="N7" s="7"/>
      <c r="O7" s="7"/>
      <c r="P7" s="7"/>
      <c r="Q7" s="7" t="s">
        <v>20</v>
      </c>
      <c r="R7" s="7">
        <v>3.0000000000000001E-3</v>
      </c>
      <c r="S7" s="7" t="s">
        <v>21</v>
      </c>
      <c r="T7" s="7" t="s">
        <v>19</v>
      </c>
    </row>
    <row r="8" spans="8:23" ht="42.55" customHeight="1" thickBot="1" x14ac:dyDescent="0.45">
      <c r="H8" s="9"/>
      <c r="I8" s="8">
        <v>101010</v>
      </c>
      <c r="J8" s="7" t="s">
        <v>17</v>
      </c>
      <c r="K8" s="7">
        <v>8</v>
      </c>
      <c r="L8" s="7"/>
      <c r="M8" s="7" t="s">
        <v>317</v>
      </c>
      <c r="N8" s="7"/>
      <c r="O8" s="7"/>
      <c r="P8" s="7"/>
      <c r="Q8" s="7" t="s">
        <v>46</v>
      </c>
      <c r="R8" s="7">
        <v>3.0000000000000001E-3</v>
      </c>
      <c r="S8" s="7" t="s">
        <v>21</v>
      </c>
      <c r="T8" s="7" t="s">
        <v>19</v>
      </c>
    </row>
    <row r="9" spans="8:23" ht="42.55" customHeight="1" thickBot="1" x14ac:dyDescent="0.45">
      <c r="H9" s="9" t="s">
        <v>323</v>
      </c>
      <c r="I9" s="8">
        <v>123456</v>
      </c>
      <c r="J9" s="7" t="s">
        <v>17</v>
      </c>
      <c r="K9" s="7">
        <v>8</v>
      </c>
      <c r="L9" s="7"/>
      <c r="M9" s="7" t="s">
        <v>18</v>
      </c>
      <c r="N9" s="7"/>
      <c r="O9" s="7"/>
      <c r="P9" s="7"/>
      <c r="Q9" s="7" t="s">
        <v>46</v>
      </c>
      <c r="R9" s="7">
        <v>3.0000000000000001E-3</v>
      </c>
      <c r="S9" s="7" t="s">
        <v>21</v>
      </c>
      <c r="T9" s="7" t="s">
        <v>19</v>
      </c>
    </row>
    <row r="10" spans="8:23" ht="42.55" customHeight="1" thickBot="1" x14ac:dyDescent="0.45">
      <c r="H10" s="10" t="s">
        <v>324</v>
      </c>
      <c r="I10" s="11">
        <v>232323</v>
      </c>
      <c r="J10" s="12" t="s">
        <v>17</v>
      </c>
      <c r="K10" s="12">
        <v>8</v>
      </c>
      <c r="L10" s="12"/>
      <c r="M10" s="12" t="s">
        <v>317</v>
      </c>
      <c r="N10" s="12"/>
      <c r="O10" s="12"/>
      <c r="P10" s="12"/>
      <c r="Q10" s="12" t="s">
        <v>46</v>
      </c>
      <c r="R10" s="12">
        <v>3.0000000000000001E-3</v>
      </c>
      <c r="S10" s="12" t="s">
        <v>21</v>
      </c>
      <c r="T10" s="12" t="s">
        <v>325</v>
      </c>
      <c r="U10" s="1" t="s">
        <v>326</v>
      </c>
    </row>
    <row r="11" spans="8:23" ht="42.55" customHeight="1" thickBot="1" x14ac:dyDescent="0.45">
      <c r="H11" s="9" t="s">
        <v>327</v>
      </c>
      <c r="I11" s="8">
        <v>111</v>
      </c>
      <c r="J11" s="7" t="s">
        <v>17</v>
      </c>
      <c r="K11" s="7">
        <v>8</v>
      </c>
      <c r="L11" s="7"/>
      <c r="M11" s="7" t="s">
        <v>18</v>
      </c>
      <c r="N11" s="7"/>
      <c r="O11" s="7"/>
      <c r="P11" s="7">
        <v>10</v>
      </c>
      <c r="Q11" s="7" t="s">
        <v>46</v>
      </c>
      <c r="R11" s="7">
        <v>3.0000000000000001E-3</v>
      </c>
      <c r="S11" s="7"/>
      <c r="T11" s="7"/>
    </row>
    <row r="12" spans="8:23" ht="42.55" customHeight="1" thickBot="1" x14ac:dyDescent="0.45">
      <c r="H12" s="1" t="s">
        <v>328</v>
      </c>
      <c r="I12" s="5">
        <v>2</v>
      </c>
      <c r="J12" s="6" t="s">
        <v>17</v>
      </c>
      <c r="K12" s="6">
        <v>8</v>
      </c>
      <c r="L12" s="6"/>
      <c r="M12" s="6" t="s">
        <v>317</v>
      </c>
      <c r="N12" s="6"/>
      <c r="O12" s="6"/>
      <c r="P12" s="6">
        <v>10</v>
      </c>
      <c r="Q12" s="6" t="s">
        <v>46</v>
      </c>
      <c r="R12" s="6">
        <v>3.0000000000000001E-3</v>
      </c>
      <c r="S12" s="6"/>
      <c r="T12" s="6"/>
    </row>
    <row r="13" spans="8:23" ht="42.55" customHeight="1" thickBot="1" x14ac:dyDescent="0.45">
      <c r="H13" s="9" t="s">
        <v>329</v>
      </c>
      <c r="I13" s="8">
        <v>460101</v>
      </c>
      <c r="J13" s="7" t="s">
        <v>17</v>
      </c>
      <c r="K13" s="7">
        <v>8</v>
      </c>
      <c r="L13" s="7"/>
      <c r="M13" s="7" t="s">
        <v>18</v>
      </c>
      <c r="N13" s="7"/>
      <c r="O13" s="7"/>
      <c r="P13" s="7"/>
      <c r="Q13" s="7" t="s">
        <v>46</v>
      </c>
      <c r="R13" s="7">
        <v>3.0000000000000001E-3</v>
      </c>
      <c r="S13" s="7" t="s">
        <v>21</v>
      </c>
      <c r="T13" s="7" t="s">
        <v>19</v>
      </c>
    </row>
    <row r="14" spans="8:23" ht="42.55" customHeight="1" thickBot="1" x14ac:dyDescent="0.45">
      <c r="H14" s="13"/>
      <c r="I14" s="14"/>
      <c r="J14" s="15" t="s">
        <v>17</v>
      </c>
      <c r="K14" s="15">
        <v>8</v>
      </c>
      <c r="L14" s="15"/>
      <c r="M14" s="15"/>
      <c r="N14" s="15"/>
      <c r="O14" s="15"/>
      <c r="P14" s="15">
        <v>50</v>
      </c>
      <c r="Q14" s="15" t="s">
        <v>46</v>
      </c>
      <c r="R14" s="15">
        <v>3.0000000000000001E-3</v>
      </c>
      <c r="S14" s="15"/>
      <c r="T14" s="15"/>
    </row>
    <row r="15" spans="8:23" ht="42.55" customHeight="1" thickBot="1" x14ac:dyDescent="0.45">
      <c r="H15" s="13"/>
      <c r="I15" s="14"/>
      <c r="J15" s="15" t="s">
        <v>17</v>
      </c>
      <c r="K15" s="15">
        <v>8</v>
      </c>
      <c r="L15" s="15"/>
      <c r="M15" s="15"/>
      <c r="N15" s="15"/>
      <c r="O15" s="15"/>
      <c r="P15" s="15">
        <v>50</v>
      </c>
      <c r="Q15" s="15" t="s">
        <v>46</v>
      </c>
      <c r="R15" s="15">
        <v>3.0000000000000001E-3</v>
      </c>
      <c r="S15" s="15"/>
      <c r="T15" s="15"/>
    </row>
    <row r="16" spans="8:23" ht="42.55" customHeight="1" thickBot="1" x14ac:dyDescent="0.45">
      <c r="H16" s="13"/>
      <c r="I16" s="14">
        <v>232323</v>
      </c>
      <c r="J16" s="15" t="s">
        <v>17</v>
      </c>
      <c r="K16" s="15">
        <v>8</v>
      </c>
      <c r="L16" s="15"/>
      <c r="M16" s="15" t="s">
        <v>18</v>
      </c>
      <c r="N16" s="15"/>
      <c r="O16" s="15"/>
      <c r="P16" s="15">
        <v>50</v>
      </c>
      <c r="Q16" s="15" t="s">
        <v>46</v>
      </c>
      <c r="R16" s="15">
        <v>3.0000000000000001E-3</v>
      </c>
      <c r="S16" s="15"/>
      <c r="T16" s="15"/>
    </row>
    <row r="17" spans="8:23" ht="63.5" customHeight="1" thickBot="1" x14ac:dyDescent="0.45">
      <c r="H17" s="13" t="s">
        <v>330</v>
      </c>
      <c r="I17" s="14">
        <v>232323</v>
      </c>
      <c r="J17" s="15" t="s">
        <v>17</v>
      </c>
      <c r="K17" s="15">
        <v>8</v>
      </c>
      <c r="L17" s="15"/>
      <c r="M17" s="15" t="s">
        <v>18</v>
      </c>
      <c r="N17" s="15"/>
      <c r="O17" s="15"/>
      <c r="P17" s="15">
        <v>20</v>
      </c>
      <c r="Q17" s="16" t="s">
        <v>331</v>
      </c>
      <c r="R17" s="15">
        <v>3.0000000000000001E-3</v>
      </c>
      <c r="S17" s="15" t="s">
        <v>21</v>
      </c>
      <c r="T17" s="15" t="s">
        <v>19</v>
      </c>
    </row>
    <row r="18" spans="8:23" ht="63.5" customHeight="1" thickBot="1" x14ac:dyDescent="0.45">
      <c r="R18" s="15"/>
      <c r="S18" s="15"/>
      <c r="T18" s="15"/>
    </row>
    <row r="19" spans="8:23" ht="42.55" customHeight="1" thickBot="1" x14ac:dyDescent="0.45">
      <c r="I19" s="5">
        <v>2</v>
      </c>
      <c r="J19" s="6" t="s">
        <v>332</v>
      </c>
      <c r="K19" s="6">
        <v>10</v>
      </c>
      <c r="L19" s="6"/>
      <c r="M19" s="6" t="s">
        <v>18</v>
      </c>
      <c r="N19" s="6" t="s">
        <v>333</v>
      </c>
      <c r="O19" s="6">
        <v>0.1</v>
      </c>
      <c r="P19" s="6">
        <v>10</v>
      </c>
      <c r="Q19" s="6" t="s">
        <v>46</v>
      </c>
      <c r="R19" s="6">
        <v>3.0000000000000001E-3</v>
      </c>
      <c r="S19" s="6"/>
      <c r="T19" s="6"/>
    </row>
    <row r="20" spans="8:23" ht="42.55" customHeight="1" thickBot="1" x14ac:dyDescent="0.45">
      <c r="H20" s="1" t="s">
        <v>334</v>
      </c>
      <c r="I20" s="5">
        <v>232323</v>
      </c>
      <c r="J20" s="6" t="s">
        <v>332</v>
      </c>
      <c r="K20" s="6">
        <v>10</v>
      </c>
      <c r="L20" s="6"/>
      <c r="M20" s="6" t="s">
        <v>18</v>
      </c>
      <c r="N20" s="6" t="s">
        <v>335</v>
      </c>
      <c r="O20" s="6">
        <v>1</v>
      </c>
      <c r="P20" s="6">
        <v>0</v>
      </c>
      <c r="Q20" s="6" t="s">
        <v>46</v>
      </c>
      <c r="R20" s="6">
        <v>3.0000000000000001E-3</v>
      </c>
      <c r="S20" s="6"/>
      <c r="T20" s="6"/>
    </row>
    <row r="21" spans="8:23" ht="42.55" customHeight="1" thickBot="1" x14ac:dyDescent="0.45">
      <c r="H21" s="1" t="s">
        <v>336</v>
      </c>
      <c r="I21" s="5">
        <v>232323</v>
      </c>
      <c r="J21" s="6" t="s">
        <v>332</v>
      </c>
      <c r="K21" s="6">
        <v>10</v>
      </c>
      <c r="L21" s="6"/>
      <c r="M21" s="6" t="s">
        <v>18</v>
      </c>
      <c r="N21" s="6"/>
      <c r="O21" s="6">
        <v>0.1</v>
      </c>
      <c r="P21" s="6">
        <v>10</v>
      </c>
      <c r="Q21" s="6" t="s">
        <v>46</v>
      </c>
      <c r="R21" s="6">
        <v>3.0000000000000001E-3</v>
      </c>
      <c r="S21" s="6"/>
      <c r="T21" s="6"/>
    </row>
    <row r="22" spans="8:23" ht="42.55" customHeight="1" thickBot="1" x14ac:dyDescent="0.45">
      <c r="I22" s="5"/>
      <c r="J22" s="6" t="s">
        <v>332</v>
      </c>
      <c r="K22" s="6">
        <v>10</v>
      </c>
      <c r="L22" s="6"/>
      <c r="M22" s="6" t="s">
        <v>18</v>
      </c>
      <c r="N22" s="6"/>
      <c r="O22" s="6"/>
      <c r="P22" s="6"/>
      <c r="Q22" s="6" t="s">
        <v>46</v>
      </c>
      <c r="R22" s="6">
        <v>3.0000000000000001E-3</v>
      </c>
      <c r="S22" s="6"/>
      <c r="T22" s="6"/>
    </row>
    <row r="23" spans="8:23" ht="42.55" customHeight="1" thickBot="1" x14ac:dyDescent="0.45">
      <c r="I23" s="5"/>
      <c r="J23" s="6" t="s">
        <v>332</v>
      </c>
      <c r="K23" s="6">
        <v>10</v>
      </c>
      <c r="L23" s="6"/>
      <c r="M23" s="6" t="s">
        <v>18</v>
      </c>
      <c r="N23" s="6"/>
      <c r="O23" s="6"/>
      <c r="P23" s="6"/>
      <c r="Q23" s="6" t="s">
        <v>46</v>
      </c>
      <c r="R23" s="6">
        <v>3.0000000000000001E-3</v>
      </c>
      <c r="S23" s="6"/>
      <c r="T23" s="6"/>
    </row>
    <row r="24" spans="8:23" ht="42.55" customHeight="1" thickBot="1" x14ac:dyDescent="0.45">
      <c r="I24" s="5"/>
      <c r="J24" s="6" t="s">
        <v>332</v>
      </c>
      <c r="K24" s="6">
        <v>10</v>
      </c>
      <c r="L24" s="6"/>
      <c r="M24" s="6" t="s">
        <v>18</v>
      </c>
      <c r="N24" s="6"/>
      <c r="O24" s="6"/>
      <c r="P24" s="6"/>
      <c r="Q24" s="6" t="s">
        <v>46</v>
      </c>
      <c r="R24" s="6">
        <v>3.0000000000000001E-3</v>
      </c>
      <c r="S24" s="6"/>
      <c r="T24" s="6"/>
    </row>
    <row r="25" spans="8:23" x14ac:dyDescent="0.4">
      <c r="I25" s="1">
        <v>111</v>
      </c>
      <c r="J25" s="1" t="s">
        <v>17</v>
      </c>
      <c r="K25" s="1">
        <v>8</v>
      </c>
      <c r="M25" s="1" t="s">
        <v>18</v>
      </c>
      <c r="N25" s="1" t="s">
        <v>335</v>
      </c>
      <c r="O25" s="1">
        <v>0.1</v>
      </c>
      <c r="P25" s="1">
        <v>50</v>
      </c>
    </row>
    <row r="26" spans="8:23" x14ac:dyDescent="0.4">
      <c r="I26" s="1">
        <v>101010</v>
      </c>
      <c r="J26" s="1" t="s">
        <v>17</v>
      </c>
      <c r="K26" s="1">
        <v>8</v>
      </c>
      <c r="M26" s="1" t="s">
        <v>18</v>
      </c>
      <c r="N26" s="1" t="s">
        <v>335</v>
      </c>
      <c r="O26" s="1">
        <v>0.1</v>
      </c>
      <c r="P26" s="1">
        <v>50</v>
      </c>
    </row>
    <row r="27" spans="8:23" x14ac:dyDescent="0.4">
      <c r="N27" s="1" t="s">
        <v>335</v>
      </c>
      <c r="O27" s="1">
        <v>1</v>
      </c>
      <c r="P27" s="1">
        <v>0</v>
      </c>
    </row>
    <row r="28" spans="8:23" x14ac:dyDescent="0.4">
      <c r="H28" t="s">
        <v>337</v>
      </c>
      <c r="I28">
        <v>7134066</v>
      </c>
      <c r="N28" t="s">
        <v>335</v>
      </c>
      <c r="R28">
        <v>1E-4</v>
      </c>
      <c r="S28" t="s">
        <v>21</v>
      </c>
      <c r="V28" t="str">
        <f>HYPERLINK("C:\Users\Omer\rl-qecc-data\2026-07-04_21-14-02\postProcessing.png","plot")</f>
        <v>plot</v>
      </c>
      <c r="W28" t="str">
        <f>HYPERLINK("C:\Users\Omer\rl-qecc-data\2026-07-04_21-14-02\experiment.txt","experiment.txt")</f>
        <v>experiment.txt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F1:W139"/>
  <sheetViews>
    <sheetView tabSelected="1" workbookViewId="0">
      <selection activeCell="F1" sqref="F1"/>
    </sheetView>
  </sheetViews>
  <sheetFormatPr defaultRowHeight="15.05" x14ac:dyDescent="0.3"/>
  <cols>
    <col min="6" max="6" width="13.88671875" bestFit="1" customWidth="1"/>
    <col min="8" max="8" width="65.77734375" bestFit="1" customWidth="1"/>
    <col min="14" max="14" width="13.21875" customWidth="1"/>
    <col min="15" max="15" width="12.88671875" customWidth="1"/>
    <col min="17" max="17" width="34.44140625" bestFit="1" customWidth="1"/>
    <col min="18" max="18" width="15.88671875" customWidth="1"/>
    <col min="19" max="19" width="15.44140625" customWidth="1"/>
    <col min="20" max="20" width="13.109375" customWidth="1"/>
    <col min="21" max="21" width="14" customWidth="1"/>
    <col min="22" max="22" width="13.5546875" customWidth="1"/>
    <col min="23" max="23" width="13.109375" customWidth="1"/>
  </cols>
  <sheetData>
    <row r="1" spans="6:23" ht="105.4" customHeight="1" thickBot="1" x14ac:dyDescent="0.35">
      <c r="F1" t="s">
        <v>338</v>
      </c>
      <c r="G1" s="2" t="s">
        <v>0</v>
      </c>
      <c r="H1" s="2" t="s">
        <v>1</v>
      </c>
      <c r="I1" s="2" t="s">
        <v>2</v>
      </c>
      <c r="J1" s="3" t="s">
        <v>3</v>
      </c>
      <c r="K1" s="3" t="s">
        <v>4</v>
      </c>
      <c r="L1" s="3"/>
      <c r="M1" s="3" t="s">
        <v>5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  <c r="T1" s="3" t="s">
        <v>12</v>
      </c>
      <c r="U1" s="2"/>
      <c r="V1" s="2" t="s">
        <v>13</v>
      </c>
      <c r="W1" s="2" t="s">
        <v>14</v>
      </c>
    </row>
    <row r="2" spans="6:23" x14ac:dyDescent="0.3">
      <c r="F2" t="s">
        <v>339</v>
      </c>
      <c r="G2" t="s">
        <v>15</v>
      </c>
      <c r="H2" t="s">
        <v>16</v>
      </c>
      <c r="I2">
        <v>3141592</v>
      </c>
      <c r="J2" t="s">
        <v>17</v>
      </c>
      <c r="K2">
        <v>8</v>
      </c>
      <c r="M2" t="s">
        <v>18</v>
      </c>
      <c r="N2" t="s">
        <v>19</v>
      </c>
      <c r="O2">
        <v>0.1</v>
      </c>
      <c r="P2">
        <v>10</v>
      </c>
      <c r="Q2" t="s">
        <v>20</v>
      </c>
      <c r="R2">
        <v>3.0000000000000001E-3</v>
      </c>
      <c r="S2" t="s">
        <v>21</v>
      </c>
      <c r="T2">
        <v>30</v>
      </c>
      <c r="V2" t="str">
        <f>HYPERLINK("c:\users\omer\rl-qecc-data\reinforcementLearning\2026-07-27_21-48-42_1172807\postProcessing.png","plot")</f>
        <v>plot</v>
      </c>
      <c r="W2" t="str">
        <f>HYPERLINK("c:\users\omer\rl-qecc-data\reinforcementLearning\2026-07-27_21-48-42_1172807\search_9_6_seed_3141592_experiment.txt","experiment.txt")</f>
        <v>experiment.txt</v>
      </c>
    </row>
    <row r="3" spans="6:23" x14ac:dyDescent="0.3">
      <c r="F3" t="s">
        <v>339</v>
      </c>
      <c r="G3" t="s">
        <v>22</v>
      </c>
      <c r="H3" t="s">
        <v>23</v>
      </c>
      <c r="I3">
        <v>2718281</v>
      </c>
      <c r="J3" t="s">
        <v>17</v>
      </c>
      <c r="K3">
        <v>8</v>
      </c>
      <c r="M3" t="s">
        <v>18</v>
      </c>
      <c r="N3" t="s">
        <v>19</v>
      </c>
      <c r="O3">
        <v>0.1</v>
      </c>
      <c r="P3">
        <v>10</v>
      </c>
      <c r="Q3" t="s">
        <v>20</v>
      </c>
      <c r="R3">
        <v>3.0000000000000001E-3</v>
      </c>
      <c r="S3" t="s">
        <v>21</v>
      </c>
      <c r="T3">
        <v>30</v>
      </c>
      <c r="V3" t="str">
        <f>HYPERLINK("c:\users\omer\rl-qecc-data\reinforcementLearning\2026-07-27_21-48-42_1172833\postProcessing.png","plot")</f>
        <v>plot</v>
      </c>
      <c r="W3" t="str">
        <f>HYPERLINK("c:\users\omer\rl-qecc-data\reinforcementLearning\2026-07-27_21-48-42_1172833\search_9_6_seed_2718281_experiment.txt","experiment.txt")</f>
        <v>experiment.txt</v>
      </c>
    </row>
    <row r="4" spans="6:23" x14ac:dyDescent="0.3">
      <c r="F4" t="s">
        <v>339</v>
      </c>
      <c r="G4" t="s">
        <v>24</v>
      </c>
      <c r="H4" t="s">
        <v>25</v>
      </c>
      <c r="I4">
        <v>1618033</v>
      </c>
      <c r="J4" t="s">
        <v>17</v>
      </c>
      <c r="K4">
        <v>8</v>
      </c>
      <c r="M4" t="s">
        <v>18</v>
      </c>
      <c r="N4" t="s">
        <v>19</v>
      </c>
      <c r="O4">
        <v>0.1</v>
      </c>
      <c r="P4">
        <v>10</v>
      </c>
      <c r="Q4" t="s">
        <v>20</v>
      </c>
      <c r="R4">
        <v>3.0000000000000001E-3</v>
      </c>
      <c r="S4" t="s">
        <v>21</v>
      </c>
      <c r="T4">
        <v>30</v>
      </c>
      <c r="V4" t="str">
        <f>HYPERLINK("c:\users\omer\rl-qecc-data\reinforcementLearning\2026-07-27_21-48-42_1172859\postProcessing.png","plot")</f>
        <v>plot</v>
      </c>
      <c r="W4" t="str">
        <f>HYPERLINK("c:\users\omer\rl-qecc-data\reinforcementLearning\2026-07-27_21-48-42_1172859\search_9_6_seed_1618033_experiment.txt","experiment.txt")</f>
        <v>experiment.txt</v>
      </c>
    </row>
    <row r="5" spans="6:23" x14ac:dyDescent="0.3">
      <c r="F5" t="s">
        <v>339</v>
      </c>
      <c r="G5" t="s">
        <v>26</v>
      </c>
      <c r="H5" t="s">
        <v>27</v>
      </c>
      <c r="I5">
        <v>1414213</v>
      </c>
      <c r="J5" t="s">
        <v>17</v>
      </c>
      <c r="K5">
        <v>8</v>
      </c>
      <c r="M5" t="s">
        <v>18</v>
      </c>
      <c r="N5" t="s">
        <v>19</v>
      </c>
      <c r="O5">
        <v>0.1</v>
      </c>
      <c r="P5">
        <v>10</v>
      </c>
      <c r="Q5" t="s">
        <v>20</v>
      </c>
      <c r="R5">
        <v>3.0000000000000001E-3</v>
      </c>
      <c r="S5" t="s">
        <v>21</v>
      </c>
      <c r="T5">
        <v>30</v>
      </c>
      <c r="V5" t="str">
        <f>HYPERLINK("c:\users\omer\rl-qecc-data\reinforcementLearning\2026-07-27_21-48-44_1172885\postProcessing.png","plot")</f>
        <v>plot</v>
      </c>
      <c r="W5" t="str">
        <f>HYPERLINK("c:\users\omer\rl-qecc-data\reinforcementLearning\2026-07-27_21-48-44_1172885\search_9_6_seed_1414213_experiment.txt","experiment.txt")</f>
        <v>experiment.txt</v>
      </c>
    </row>
    <row r="6" spans="6:23" x14ac:dyDescent="0.3">
      <c r="F6" t="s">
        <v>339</v>
      </c>
      <c r="G6" t="s">
        <v>28</v>
      </c>
      <c r="H6" t="s">
        <v>29</v>
      </c>
      <c r="I6">
        <v>1732050</v>
      </c>
      <c r="J6" t="s">
        <v>17</v>
      </c>
      <c r="K6">
        <v>8</v>
      </c>
      <c r="M6" t="s">
        <v>18</v>
      </c>
      <c r="N6" t="s">
        <v>19</v>
      </c>
      <c r="O6">
        <v>0.1</v>
      </c>
      <c r="P6">
        <v>10</v>
      </c>
      <c r="Q6" t="s">
        <v>20</v>
      </c>
      <c r="R6">
        <v>3.0000000000000001E-3</v>
      </c>
      <c r="S6" t="s">
        <v>21</v>
      </c>
      <c r="T6">
        <v>30</v>
      </c>
      <c r="V6" t="str">
        <f>HYPERLINK("c:\users\omer\rl-qecc-data\reinforcementLearning\2026-07-27_21-48-47_1172914\postProcessing.png","plot")</f>
        <v>plot</v>
      </c>
      <c r="W6" t="str">
        <f>HYPERLINK("c:\users\omer\rl-qecc-data\reinforcementLearning\2026-07-27_21-48-47_1172914\search_9_6_seed_1732050_experiment.txt","experiment.txt")</f>
        <v>experiment.txt</v>
      </c>
    </row>
    <row r="7" spans="6:23" x14ac:dyDescent="0.3">
      <c r="F7" t="s">
        <v>339</v>
      </c>
      <c r="G7" t="s">
        <v>30</v>
      </c>
      <c r="H7" t="s">
        <v>31</v>
      </c>
      <c r="I7">
        <v>2236067</v>
      </c>
      <c r="J7" t="s">
        <v>17</v>
      </c>
      <c r="K7">
        <v>8</v>
      </c>
      <c r="M7" t="s">
        <v>18</v>
      </c>
      <c r="N7" t="s">
        <v>19</v>
      </c>
      <c r="O7">
        <v>0.1</v>
      </c>
      <c r="P7">
        <v>10</v>
      </c>
      <c r="Q7" t="s">
        <v>20</v>
      </c>
      <c r="R7">
        <v>3.0000000000000001E-3</v>
      </c>
      <c r="S7" t="s">
        <v>21</v>
      </c>
      <c r="T7">
        <v>30</v>
      </c>
      <c r="V7" t="str">
        <f>HYPERLINK("c:\users\omer\rl-qecc-data\reinforcementLearning\2026-07-27_21-48-51_1172941\postProcessing.png","plot")</f>
        <v>plot</v>
      </c>
      <c r="W7" t="str">
        <f>HYPERLINK("c:\users\omer\rl-qecc-data\reinforcementLearning\2026-07-27_21-48-51_1172941\search_9_6_seed_2236067_experiment.txt","experiment.txt")</f>
        <v>experiment.txt</v>
      </c>
    </row>
    <row r="8" spans="6:23" x14ac:dyDescent="0.3">
      <c r="F8" t="s">
        <v>339</v>
      </c>
      <c r="G8" t="s">
        <v>32</v>
      </c>
      <c r="H8" t="s">
        <v>33</v>
      </c>
      <c r="I8">
        <v>2645751</v>
      </c>
      <c r="J8" t="s">
        <v>17</v>
      </c>
      <c r="K8">
        <v>8</v>
      </c>
      <c r="M8" t="s">
        <v>18</v>
      </c>
      <c r="N8" t="s">
        <v>19</v>
      </c>
      <c r="O8">
        <v>0.1</v>
      </c>
      <c r="P8">
        <v>10</v>
      </c>
      <c r="Q8" t="s">
        <v>20</v>
      </c>
      <c r="R8">
        <v>3.0000000000000001E-3</v>
      </c>
      <c r="S8" t="s">
        <v>21</v>
      </c>
      <c r="T8">
        <v>30</v>
      </c>
      <c r="V8" t="str">
        <f>HYPERLINK("c:\users\omer\rl-qecc-data\reinforcementLearning\2026-07-27_21-48-54_1173000\postProcessing.png","plot")</f>
        <v>plot</v>
      </c>
      <c r="W8" t="str">
        <f>HYPERLINK("c:\users\omer\rl-qecc-data\reinforcementLearning\2026-07-27_21-48-54_1173000\search_9_6_seed_2645751_experiment.txt","experiment.txt")</f>
        <v>experiment.txt</v>
      </c>
    </row>
    <row r="9" spans="6:23" x14ac:dyDescent="0.3">
      <c r="F9" t="s">
        <v>339</v>
      </c>
      <c r="G9" t="s">
        <v>34</v>
      </c>
      <c r="H9" t="s">
        <v>35</v>
      </c>
      <c r="I9">
        <v>3316624</v>
      </c>
      <c r="J9" t="s">
        <v>17</v>
      </c>
      <c r="K9">
        <v>8</v>
      </c>
      <c r="M9" t="s">
        <v>18</v>
      </c>
      <c r="N9" t="s">
        <v>19</v>
      </c>
      <c r="O9">
        <v>0.1</v>
      </c>
      <c r="P9">
        <v>10</v>
      </c>
      <c r="Q9" t="s">
        <v>20</v>
      </c>
      <c r="R9">
        <v>3.0000000000000001E-3</v>
      </c>
      <c r="S9" t="s">
        <v>21</v>
      </c>
      <c r="T9">
        <v>30</v>
      </c>
      <c r="V9" t="str">
        <f>HYPERLINK("c:\users\omer\rl-qecc-data\reinforcementLearning\2026-07-27_21-48-56_1173035\postProcessing.png","plot")</f>
        <v>plot</v>
      </c>
      <c r="W9" t="str">
        <f>HYPERLINK("c:\users\omer\rl-qecc-data\reinforcementLearning\2026-07-27_21-48-56_1173035\search_9_6_seed_3316624_experiment.txt","experiment.txt")</f>
        <v>experiment.txt</v>
      </c>
    </row>
    <row r="10" spans="6:23" x14ac:dyDescent="0.3">
      <c r="F10" t="s">
        <v>339</v>
      </c>
      <c r="G10" t="s">
        <v>36</v>
      </c>
      <c r="H10" t="s">
        <v>37</v>
      </c>
      <c r="I10">
        <v>1234567</v>
      </c>
      <c r="J10" t="s">
        <v>17</v>
      </c>
      <c r="K10">
        <v>8</v>
      </c>
      <c r="M10" t="s">
        <v>18</v>
      </c>
      <c r="N10" t="s">
        <v>19</v>
      </c>
      <c r="O10">
        <v>0.1</v>
      </c>
      <c r="P10">
        <v>10</v>
      </c>
      <c r="Q10" t="s">
        <v>20</v>
      </c>
      <c r="R10">
        <v>3.0000000000000001E-3</v>
      </c>
      <c r="S10" t="s">
        <v>21</v>
      </c>
      <c r="T10">
        <v>30</v>
      </c>
      <c r="V10" t="str">
        <f>HYPERLINK("c:\users\omer\rl-qecc-data\reinforcementLearning\2026-07-27_21-48-59_1173071\postProcessing.png","plot")</f>
        <v>plot</v>
      </c>
      <c r="W10" t="str">
        <f>HYPERLINK("c:\users\omer\rl-qecc-data\reinforcementLearning\2026-07-27_21-48-59_1173071\search_9_6_seed_1234567_experiment.txt","experiment.txt")</f>
        <v>experiment.txt</v>
      </c>
    </row>
    <row r="11" spans="6:23" x14ac:dyDescent="0.3">
      <c r="F11" t="s">
        <v>339</v>
      </c>
      <c r="G11" t="s">
        <v>38</v>
      </c>
      <c r="H11" t="s">
        <v>39</v>
      </c>
      <c r="I11">
        <v>7654321</v>
      </c>
      <c r="J11" t="s">
        <v>17</v>
      </c>
      <c r="K11">
        <v>8</v>
      </c>
      <c r="M11" t="s">
        <v>18</v>
      </c>
      <c r="N11" t="s">
        <v>19</v>
      </c>
      <c r="O11">
        <v>0.1</v>
      </c>
      <c r="P11">
        <v>10</v>
      </c>
      <c r="Q11" t="s">
        <v>20</v>
      </c>
      <c r="R11">
        <v>3.0000000000000001E-3</v>
      </c>
      <c r="S11" t="s">
        <v>21</v>
      </c>
      <c r="T11">
        <v>30</v>
      </c>
      <c r="V11" t="str">
        <f>HYPERLINK("c:\users\omer\rl-qecc-data\reinforcementLearning\2026-07-27_21-49-02_1173109\postProcessing.png","plot")</f>
        <v>plot</v>
      </c>
      <c r="W11" t="str">
        <f>HYPERLINK("c:\users\omer\rl-qecc-data\reinforcementLearning\2026-07-27_21-49-02_1173109\search_9_6_seed_7654321_experiment.txt","experiment.txt")</f>
        <v>experiment.txt</v>
      </c>
    </row>
    <row r="12" spans="6:23" x14ac:dyDescent="0.3">
      <c r="F12" t="s">
        <v>339</v>
      </c>
      <c r="G12" t="s">
        <v>40</v>
      </c>
      <c r="H12" t="s">
        <v>41</v>
      </c>
      <c r="I12">
        <v>9876543</v>
      </c>
      <c r="J12" t="s">
        <v>17</v>
      </c>
      <c r="K12">
        <v>8</v>
      </c>
      <c r="M12" t="s">
        <v>18</v>
      </c>
      <c r="N12" t="s">
        <v>19</v>
      </c>
      <c r="O12">
        <v>0.1</v>
      </c>
      <c r="P12">
        <v>10</v>
      </c>
      <c r="Q12" t="s">
        <v>20</v>
      </c>
      <c r="R12">
        <v>3.0000000000000001E-3</v>
      </c>
      <c r="S12" t="s">
        <v>21</v>
      </c>
      <c r="T12">
        <v>30</v>
      </c>
      <c r="V12" t="str">
        <f>HYPERLINK("c:\users\omer\rl-qecc-data\reinforcementLearning\2026-07-27_21-49-05_1173144\postProcessing.png","plot")</f>
        <v>plot</v>
      </c>
      <c r="W12" t="str">
        <f>HYPERLINK("c:\users\omer\rl-qecc-data\reinforcementLearning\2026-07-27_21-49-05_1173144\search_9_6_seed_9876543_experiment.txt","experiment.txt")</f>
        <v>experiment.txt</v>
      </c>
    </row>
    <row r="13" spans="6:23" x14ac:dyDescent="0.3">
      <c r="F13" t="s">
        <v>339</v>
      </c>
      <c r="G13" t="s">
        <v>42</v>
      </c>
      <c r="H13" t="s">
        <v>43</v>
      </c>
      <c r="I13">
        <v>1111111</v>
      </c>
      <c r="J13" t="s">
        <v>17</v>
      </c>
      <c r="K13">
        <v>8</v>
      </c>
      <c r="M13" t="s">
        <v>18</v>
      </c>
      <c r="N13" t="s">
        <v>19</v>
      </c>
      <c r="O13">
        <v>0.1</v>
      </c>
      <c r="P13">
        <v>10</v>
      </c>
      <c r="Q13" t="s">
        <v>20</v>
      </c>
      <c r="R13">
        <v>3.0000000000000001E-3</v>
      </c>
      <c r="S13" t="s">
        <v>21</v>
      </c>
      <c r="T13">
        <v>30</v>
      </c>
      <c r="V13" t="str">
        <f>HYPERLINK("c:\users\omer\rl-qecc-data\reinforcementLearning\2026-07-27_21-49-09_1173179\postProcessing.png","plot")</f>
        <v>plot</v>
      </c>
      <c r="W13" t="str">
        <f>HYPERLINK("c:\users\omer\rl-qecc-data\reinforcementLearning\2026-07-27_21-49-09_1173179\search_9_6_seed_1111111_experiment.txt","experiment.txt")</f>
        <v>experiment.txt</v>
      </c>
    </row>
    <row r="14" spans="6:23" x14ac:dyDescent="0.3">
      <c r="F14" t="s">
        <v>339</v>
      </c>
      <c r="G14" t="s">
        <v>44</v>
      </c>
      <c r="H14" t="s">
        <v>45</v>
      </c>
      <c r="I14">
        <v>3141592</v>
      </c>
      <c r="J14" t="s">
        <v>17</v>
      </c>
      <c r="K14">
        <v>8</v>
      </c>
      <c r="M14" t="s">
        <v>18</v>
      </c>
      <c r="N14" t="s">
        <v>19</v>
      </c>
      <c r="O14">
        <v>0.1</v>
      </c>
      <c r="P14">
        <v>10</v>
      </c>
      <c r="Q14" t="s">
        <v>46</v>
      </c>
      <c r="R14">
        <v>3.0000000000000001E-3</v>
      </c>
      <c r="S14" t="s">
        <v>21</v>
      </c>
      <c r="T14">
        <v>30</v>
      </c>
      <c r="V14" t="str">
        <f>HYPERLINK("c:\users\omer\rl-qecc-data\reinforcementLearning\2026-07-27_21-50-10_734813\postProcessing.png","plot")</f>
        <v>plot</v>
      </c>
      <c r="W14" t="str">
        <f>HYPERLINK("c:\users\omer\rl-qecc-data\reinforcementLearning\2026-07-27_21-50-10_734813\search_9_6_seed_3141592_experiment.txt","experiment.txt")</f>
        <v>experiment.txt</v>
      </c>
    </row>
    <row r="15" spans="6:23" x14ac:dyDescent="0.3">
      <c r="F15" t="s">
        <v>339</v>
      </c>
      <c r="G15" t="s">
        <v>47</v>
      </c>
      <c r="H15" t="s">
        <v>48</v>
      </c>
      <c r="I15">
        <v>2718281</v>
      </c>
      <c r="J15" t="s">
        <v>17</v>
      </c>
      <c r="K15">
        <v>8</v>
      </c>
      <c r="M15" t="s">
        <v>18</v>
      </c>
      <c r="N15" t="s">
        <v>19</v>
      </c>
      <c r="O15">
        <v>0.1</v>
      </c>
      <c r="P15">
        <v>10</v>
      </c>
      <c r="Q15" t="s">
        <v>46</v>
      </c>
      <c r="R15">
        <v>3.0000000000000001E-3</v>
      </c>
      <c r="S15" t="s">
        <v>21</v>
      </c>
      <c r="T15">
        <v>30</v>
      </c>
      <c r="V15" t="str">
        <f>HYPERLINK("c:\users\omer\rl-qecc-data\reinforcementLearning\2026-07-27_21-50-10_734850\postProcessing.png","plot")</f>
        <v>plot</v>
      </c>
      <c r="W15" t="str">
        <f>HYPERLINK("c:\users\omer\rl-qecc-data\reinforcementLearning\2026-07-27_21-50-10_734850\search_9_6_seed_2718281_experiment.txt","experiment.txt")</f>
        <v>experiment.txt</v>
      </c>
    </row>
    <row r="16" spans="6:23" x14ac:dyDescent="0.3">
      <c r="F16" t="s">
        <v>339</v>
      </c>
      <c r="G16" t="s">
        <v>49</v>
      </c>
      <c r="H16" t="s">
        <v>50</v>
      </c>
      <c r="I16">
        <v>1618033</v>
      </c>
      <c r="J16" t="s">
        <v>17</v>
      </c>
      <c r="K16">
        <v>8</v>
      </c>
      <c r="M16" t="s">
        <v>18</v>
      </c>
      <c r="N16" t="s">
        <v>19</v>
      </c>
      <c r="O16">
        <v>0.1</v>
      </c>
      <c r="P16">
        <v>10</v>
      </c>
      <c r="Q16" t="s">
        <v>46</v>
      </c>
      <c r="R16">
        <v>3.0000000000000001E-3</v>
      </c>
      <c r="S16" t="s">
        <v>21</v>
      </c>
      <c r="T16">
        <v>30</v>
      </c>
      <c r="V16" t="str">
        <f>HYPERLINK("c:\users\omer\rl-qecc-data\reinforcementLearning\2026-07-27_21-50-10_734883\postProcessing.png","plot")</f>
        <v>plot</v>
      </c>
      <c r="W16" t="str">
        <f>HYPERLINK("c:\users\omer\rl-qecc-data\reinforcementLearning\2026-07-27_21-50-10_734883\search_9_6_seed_1618033_experiment.txt","experiment.txt")</f>
        <v>experiment.txt</v>
      </c>
    </row>
    <row r="17" spans="6:23" x14ac:dyDescent="0.3">
      <c r="F17" t="s">
        <v>339</v>
      </c>
      <c r="G17" t="s">
        <v>51</v>
      </c>
      <c r="H17" t="s">
        <v>52</v>
      </c>
      <c r="I17">
        <v>1414213</v>
      </c>
      <c r="J17" t="s">
        <v>17</v>
      </c>
      <c r="K17">
        <v>8</v>
      </c>
      <c r="M17" t="s">
        <v>18</v>
      </c>
      <c r="N17" t="s">
        <v>19</v>
      </c>
      <c r="O17">
        <v>0.1</v>
      </c>
      <c r="P17">
        <v>10</v>
      </c>
      <c r="Q17" t="s">
        <v>46</v>
      </c>
      <c r="R17">
        <v>3.0000000000000001E-3</v>
      </c>
      <c r="S17" t="s">
        <v>21</v>
      </c>
      <c r="T17">
        <v>30</v>
      </c>
      <c r="V17" t="str">
        <f>HYPERLINK("c:\users\omer\rl-qecc-data\reinforcementLearning\2026-07-27_21-50-13_734914\postProcessing.png","plot")</f>
        <v>plot</v>
      </c>
      <c r="W17" t="str">
        <f>HYPERLINK("c:\users\omer\rl-qecc-data\reinforcementLearning\2026-07-27_21-50-13_734914\search_9_6_seed_1414213_experiment.txt","experiment.txt")</f>
        <v>experiment.txt</v>
      </c>
    </row>
    <row r="18" spans="6:23" x14ac:dyDescent="0.3">
      <c r="F18" t="s">
        <v>339</v>
      </c>
      <c r="G18" t="s">
        <v>53</v>
      </c>
      <c r="H18" t="s">
        <v>54</v>
      </c>
      <c r="I18">
        <v>1732050</v>
      </c>
      <c r="J18" t="s">
        <v>17</v>
      </c>
      <c r="K18">
        <v>8</v>
      </c>
      <c r="M18" t="s">
        <v>18</v>
      </c>
      <c r="N18" t="s">
        <v>19</v>
      </c>
      <c r="O18">
        <v>0.1</v>
      </c>
      <c r="P18">
        <v>10</v>
      </c>
      <c r="Q18" t="s">
        <v>46</v>
      </c>
      <c r="R18">
        <v>3.0000000000000001E-3</v>
      </c>
      <c r="S18" t="s">
        <v>21</v>
      </c>
      <c r="T18">
        <v>30</v>
      </c>
      <c r="V18" t="str">
        <f>HYPERLINK("c:\users\omer\rl-qecc-data\reinforcementLearning\2026-07-27_21-50-16_734943\postProcessing.png","plot")</f>
        <v>plot</v>
      </c>
      <c r="W18" t="str">
        <f>HYPERLINK("c:\users\omer\rl-qecc-data\reinforcementLearning\2026-07-27_21-50-16_734943\search_9_6_seed_1732050_experiment.txt","experiment.txt")</f>
        <v>experiment.txt</v>
      </c>
    </row>
    <row r="19" spans="6:23" x14ac:dyDescent="0.3">
      <c r="F19" t="s">
        <v>339</v>
      </c>
      <c r="G19" t="s">
        <v>55</v>
      </c>
      <c r="H19" t="s">
        <v>56</v>
      </c>
      <c r="I19">
        <v>2236067</v>
      </c>
      <c r="J19" t="s">
        <v>17</v>
      </c>
      <c r="K19">
        <v>8</v>
      </c>
      <c r="M19" t="s">
        <v>18</v>
      </c>
      <c r="N19" t="s">
        <v>19</v>
      </c>
      <c r="O19">
        <v>0.1</v>
      </c>
      <c r="P19">
        <v>10</v>
      </c>
      <c r="Q19" t="s">
        <v>46</v>
      </c>
      <c r="R19">
        <v>3.0000000000000001E-3</v>
      </c>
      <c r="S19" t="s">
        <v>21</v>
      </c>
      <c r="T19">
        <v>30</v>
      </c>
      <c r="V19" t="str">
        <f>HYPERLINK("c:\users\omer\rl-qecc-data\reinforcementLearning\2026-07-27_21-50-20_734978\postProcessing.png","plot")</f>
        <v>plot</v>
      </c>
      <c r="W19" t="str">
        <f>HYPERLINK("c:\users\omer\rl-qecc-data\reinforcementLearning\2026-07-27_21-50-20_734978\search_9_6_seed_2236067_experiment.txt","experiment.txt")</f>
        <v>experiment.txt</v>
      </c>
    </row>
    <row r="20" spans="6:23" x14ac:dyDescent="0.3">
      <c r="F20" t="s">
        <v>339</v>
      </c>
      <c r="G20" t="s">
        <v>57</v>
      </c>
      <c r="H20" t="s">
        <v>58</v>
      </c>
      <c r="I20">
        <v>2645751</v>
      </c>
      <c r="J20" t="s">
        <v>17</v>
      </c>
      <c r="K20">
        <v>8</v>
      </c>
      <c r="M20" t="s">
        <v>18</v>
      </c>
      <c r="N20" t="s">
        <v>19</v>
      </c>
      <c r="O20">
        <v>0.1</v>
      </c>
      <c r="P20">
        <v>10</v>
      </c>
      <c r="Q20" t="s">
        <v>46</v>
      </c>
      <c r="R20">
        <v>3.0000000000000001E-3</v>
      </c>
      <c r="S20" t="s">
        <v>21</v>
      </c>
      <c r="T20">
        <v>30</v>
      </c>
      <c r="V20" t="str">
        <f>HYPERLINK("c:\users\omer\rl-qecc-data\reinforcementLearning\2026-07-27_21-50-23_735045\postProcessing.png","plot")</f>
        <v>plot</v>
      </c>
      <c r="W20" t="str">
        <f>HYPERLINK("c:\users\omer\rl-qecc-data\reinforcementLearning\2026-07-27_21-50-23_735045\search_9_6_seed_2645751_experiment.txt","experiment.txt")</f>
        <v>experiment.txt</v>
      </c>
    </row>
    <row r="21" spans="6:23" x14ac:dyDescent="0.3">
      <c r="F21" t="s">
        <v>339</v>
      </c>
      <c r="G21" t="s">
        <v>59</v>
      </c>
      <c r="H21" t="s">
        <v>60</v>
      </c>
      <c r="I21">
        <v>3316624</v>
      </c>
      <c r="J21" t="s">
        <v>17</v>
      </c>
      <c r="K21">
        <v>8</v>
      </c>
      <c r="M21" t="s">
        <v>18</v>
      </c>
      <c r="N21" t="s">
        <v>19</v>
      </c>
      <c r="O21">
        <v>0.1</v>
      </c>
      <c r="P21">
        <v>10</v>
      </c>
      <c r="Q21" t="s">
        <v>46</v>
      </c>
      <c r="R21">
        <v>3.0000000000000001E-3</v>
      </c>
      <c r="S21" t="s">
        <v>21</v>
      </c>
      <c r="T21">
        <v>30</v>
      </c>
      <c r="V21" t="str">
        <f>HYPERLINK("c:\users\omer\rl-qecc-data\reinforcementLearning\2026-07-27_21-50-26_735091\postProcessing.png","plot")</f>
        <v>plot</v>
      </c>
      <c r="W21" t="str">
        <f>HYPERLINK("c:\users\omer\rl-qecc-data\reinforcementLearning\2026-07-27_21-50-26_735091\search_9_6_seed_3316624_experiment.txt","experiment.txt")</f>
        <v>experiment.txt</v>
      </c>
    </row>
    <row r="22" spans="6:23" x14ac:dyDescent="0.3">
      <c r="F22" t="s">
        <v>339</v>
      </c>
      <c r="G22" t="s">
        <v>61</v>
      </c>
      <c r="H22" t="s">
        <v>62</v>
      </c>
      <c r="I22">
        <v>1234567</v>
      </c>
      <c r="J22" t="s">
        <v>17</v>
      </c>
      <c r="K22">
        <v>8</v>
      </c>
      <c r="M22" t="s">
        <v>18</v>
      </c>
      <c r="N22" t="s">
        <v>19</v>
      </c>
      <c r="O22">
        <v>0.1</v>
      </c>
      <c r="P22">
        <v>10</v>
      </c>
      <c r="Q22" t="s">
        <v>46</v>
      </c>
      <c r="R22">
        <v>3.0000000000000001E-3</v>
      </c>
      <c r="S22" t="s">
        <v>21</v>
      </c>
      <c r="T22">
        <v>30</v>
      </c>
      <c r="V22" t="str">
        <f>HYPERLINK("c:\users\omer\rl-qecc-data\reinforcementLearning\2026-07-27_21-50-28_735131\postProcessing.png","plot")</f>
        <v>plot</v>
      </c>
      <c r="W22" t="str">
        <f>HYPERLINK("c:\users\omer\rl-qecc-data\reinforcementLearning\2026-07-27_21-50-28_735131\search_9_6_seed_1234567_experiment.txt","experiment.txt")</f>
        <v>experiment.txt</v>
      </c>
    </row>
    <row r="23" spans="6:23" x14ac:dyDescent="0.3">
      <c r="F23" t="s">
        <v>339</v>
      </c>
      <c r="G23" t="s">
        <v>63</v>
      </c>
      <c r="H23" t="s">
        <v>64</v>
      </c>
      <c r="I23">
        <v>7654321</v>
      </c>
      <c r="J23" t="s">
        <v>17</v>
      </c>
      <c r="K23">
        <v>8</v>
      </c>
      <c r="M23" t="s">
        <v>18</v>
      </c>
      <c r="N23" t="s">
        <v>19</v>
      </c>
      <c r="O23">
        <v>0.1</v>
      </c>
      <c r="P23">
        <v>10</v>
      </c>
      <c r="Q23" t="s">
        <v>46</v>
      </c>
      <c r="R23">
        <v>3.0000000000000001E-3</v>
      </c>
      <c r="S23" t="s">
        <v>21</v>
      </c>
      <c r="T23">
        <v>30</v>
      </c>
      <c r="V23" t="str">
        <f>HYPERLINK("c:\users\omer\rl-qecc-data\reinforcementLearning\2026-07-27_21-50-32_735172\postProcessing.png","plot")</f>
        <v>plot</v>
      </c>
      <c r="W23" t="str">
        <f>HYPERLINK("c:\users\omer\rl-qecc-data\reinforcementLearning\2026-07-27_21-50-32_735172\search_9_6_seed_7654321_experiment.txt","experiment.txt")</f>
        <v>experiment.txt</v>
      </c>
    </row>
    <row r="24" spans="6:23" x14ac:dyDescent="0.3">
      <c r="F24" t="s">
        <v>339</v>
      </c>
      <c r="G24" t="s">
        <v>65</v>
      </c>
      <c r="H24" t="s">
        <v>66</v>
      </c>
      <c r="I24">
        <v>9876543</v>
      </c>
      <c r="J24" t="s">
        <v>17</v>
      </c>
      <c r="K24">
        <v>8</v>
      </c>
      <c r="M24" t="s">
        <v>18</v>
      </c>
      <c r="N24" t="s">
        <v>19</v>
      </c>
      <c r="O24">
        <v>0.1</v>
      </c>
      <c r="P24">
        <v>10</v>
      </c>
      <c r="Q24" t="s">
        <v>46</v>
      </c>
      <c r="R24">
        <v>3.0000000000000001E-3</v>
      </c>
      <c r="S24" t="s">
        <v>21</v>
      </c>
      <c r="T24">
        <v>30</v>
      </c>
      <c r="V24" t="str">
        <f>HYPERLINK("c:\users\omer\rl-qecc-data\reinforcementLearning\2026-07-27_21-50-34_735210\postProcessing.png","plot")</f>
        <v>plot</v>
      </c>
      <c r="W24" t="str">
        <f>HYPERLINK("c:\users\omer\rl-qecc-data\reinforcementLearning\2026-07-27_21-50-34_735210\search_9_6_seed_9876543_experiment.txt","experiment.txt")</f>
        <v>experiment.txt</v>
      </c>
    </row>
    <row r="25" spans="6:23" x14ac:dyDescent="0.3">
      <c r="F25" t="s">
        <v>340</v>
      </c>
      <c r="G25" t="s">
        <v>67</v>
      </c>
      <c r="H25" t="s">
        <v>68</v>
      </c>
      <c r="I25">
        <v>90210</v>
      </c>
      <c r="J25" t="s">
        <v>69</v>
      </c>
      <c r="K25">
        <v>12</v>
      </c>
      <c r="M25" t="s">
        <v>18</v>
      </c>
      <c r="N25" t="s">
        <v>19</v>
      </c>
      <c r="O25">
        <v>0.1</v>
      </c>
      <c r="P25">
        <v>20</v>
      </c>
      <c r="Q25" t="s">
        <v>70</v>
      </c>
      <c r="R25">
        <v>0.03</v>
      </c>
      <c r="S25" t="s">
        <v>21</v>
      </c>
      <c r="T25">
        <v>30</v>
      </c>
      <c r="V25" t="str">
        <f>HYPERLINK("c:\users\omer\rl-qecc-data\reinforcementLearning\2026-08-02_14-39-04_1157089\postProcessing.png","plot")</f>
        <v>plot</v>
      </c>
      <c r="W25" t="str">
        <f>HYPERLINK("c:\users\omer\rl-qecc-data\reinforcementLearning\2026-08-02_14-39-04_1157089\experiment_6_6_seed_90210","experiment.txt")</f>
        <v>experiment.txt</v>
      </c>
    </row>
    <row r="26" spans="6:23" x14ac:dyDescent="0.3">
      <c r="F26" t="s">
        <v>340</v>
      </c>
      <c r="G26" t="s">
        <v>71</v>
      </c>
      <c r="H26" t="s">
        <v>72</v>
      </c>
      <c r="I26">
        <v>466555</v>
      </c>
      <c r="J26" t="s">
        <v>69</v>
      </c>
      <c r="K26">
        <v>12</v>
      </c>
      <c r="M26" t="s">
        <v>18</v>
      </c>
      <c r="N26" t="s">
        <v>19</v>
      </c>
      <c r="O26">
        <v>0.1</v>
      </c>
      <c r="P26">
        <v>20</v>
      </c>
      <c r="Q26" t="s">
        <v>70</v>
      </c>
      <c r="R26">
        <v>0.03</v>
      </c>
      <c r="S26" t="s">
        <v>21</v>
      </c>
      <c r="T26">
        <v>30</v>
      </c>
      <c r="V26" t="str">
        <f>HYPERLINK("c:\users\omer\rl-qecc-data\reinforcementLearning\2026-08-02_14-39-04_1157123\postProcessing.png","plot")</f>
        <v>plot</v>
      </c>
      <c r="W26" t="str">
        <f>HYPERLINK("c:\users\omer\rl-qecc-data\reinforcementLearning\2026-08-02_14-39-04_1157123\experiment_6_6_seed_466555","experiment.txt")</f>
        <v>experiment.txt</v>
      </c>
    </row>
    <row r="27" spans="6:23" x14ac:dyDescent="0.3">
      <c r="F27" t="s">
        <v>340</v>
      </c>
      <c r="G27" t="s">
        <v>73</v>
      </c>
      <c r="H27" t="s">
        <v>74</v>
      </c>
      <c r="I27">
        <v>460101</v>
      </c>
      <c r="J27" t="s">
        <v>69</v>
      </c>
      <c r="K27">
        <v>12</v>
      </c>
      <c r="M27" t="s">
        <v>18</v>
      </c>
      <c r="N27" t="s">
        <v>19</v>
      </c>
      <c r="O27">
        <v>0.1</v>
      </c>
      <c r="P27">
        <v>20</v>
      </c>
      <c r="Q27" t="s">
        <v>70</v>
      </c>
      <c r="R27">
        <v>0.03</v>
      </c>
      <c r="S27" t="s">
        <v>21</v>
      </c>
      <c r="T27">
        <v>30</v>
      </c>
      <c r="V27" t="str">
        <f>HYPERLINK("c:\users\omer\rl-qecc-data\reinforcementLearning\2026-08-02_14-39-04_1157150\postProcessing.png","plot")</f>
        <v>plot</v>
      </c>
      <c r="W27" t="str">
        <f>HYPERLINK("c:\users\omer\rl-qecc-data\reinforcementLearning\2026-08-02_14-39-04_1157150\experiment_6_6_seed_460101","experiment.txt")</f>
        <v>experiment.txt</v>
      </c>
    </row>
    <row r="28" spans="6:23" x14ac:dyDescent="0.3">
      <c r="F28" t="s">
        <v>340</v>
      </c>
      <c r="G28" t="s">
        <v>75</v>
      </c>
      <c r="H28" t="s">
        <v>76</v>
      </c>
      <c r="I28">
        <v>7134066</v>
      </c>
      <c r="J28" t="s">
        <v>69</v>
      </c>
      <c r="K28">
        <v>12</v>
      </c>
      <c r="M28" t="s">
        <v>18</v>
      </c>
      <c r="N28" t="s">
        <v>19</v>
      </c>
      <c r="O28">
        <v>0.1</v>
      </c>
      <c r="P28">
        <v>20</v>
      </c>
      <c r="Q28" t="s">
        <v>70</v>
      </c>
      <c r="R28">
        <v>0.03</v>
      </c>
      <c r="S28" t="s">
        <v>21</v>
      </c>
      <c r="T28">
        <v>30</v>
      </c>
      <c r="V28" t="str">
        <f>HYPERLINK("c:\users\omer\rl-qecc-data\reinforcementLearning\2026-08-02_14-39-04_1157180\postProcessing.png","plot")</f>
        <v>plot</v>
      </c>
      <c r="W28" t="str">
        <f>HYPERLINK("c:\users\omer\rl-qecc-data\reinforcementLearning\2026-08-02_14-39-04_1157180\experiment_6_6_seed_7134066","experiment.txt")</f>
        <v>experiment.txt</v>
      </c>
    </row>
    <row r="29" spans="6:23" x14ac:dyDescent="0.3">
      <c r="F29" t="s">
        <v>340</v>
      </c>
      <c r="G29" t="s">
        <v>77</v>
      </c>
      <c r="H29" t="s">
        <v>78</v>
      </c>
      <c r="I29">
        <v>999</v>
      </c>
      <c r="J29" t="s">
        <v>69</v>
      </c>
      <c r="K29">
        <v>12</v>
      </c>
      <c r="M29" t="s">
        <v>18</v>
      </c>
      <c r="N29" t="s">
        <v>19</v>
      </c>
      <c r="O29">
        <v>0.1</v>
      </c>
      <c r="P29">
        <v>20</v>
      </c>
      <c r="Q29" t="s">
        <v>70</v>
      </c>
      <c r="R29">
        <v>0.03</v>
      </c>
      <c r="S29" t="s">
        <v>21</v>
      </c>
      <c r="T29">
        <v>30</v>
      </c>
      <c r="V29" t="str">
        <f>HYPERLINK("c:\users\omer\rl-qecc-data\reinforcementLearning\2026-08-02_14-39-04_1157207\postProcessing.png","plot")</f>
        <v>plot</v>
      </c>
      <c r="W29" t="str">
        <f>HYPERLINK("c:\users\omer\rl-qecc-data\reinforcementLearning\2026-08-02_14-39-04_1157207\experiment_6_6_seed_999","experiment.txt")</f>
        <v>experiment.txt</v>
      </c>
    </row>
    <row r="30" spans="6:23" x14ac:dyDescent="0.3">
      <c r="F30" t="s">
        <v>340</v>
      </c>
      <c r="G30" t="s">
        <v>79</v>
      </c>
      <c r="H30" t="s">
        <v>80</v>
      </c>
      <c r="I30">
        <v>67</v>
      </c>
      <c r="J30" t="s">
        <v>69</v>
      </c>
      <c r="K30">
        <v>12</v>
      </c>
      <c r="M30" t="s">
        <v>18</v>
      </c>
      <c r="N30" t="s">
        <v>19</v>
      </c>
      <c r="O30">
        <v>0.1</v>
      </c>
      <c r="P30">
        <v>20</v>
      </c>
      <c r="Q30" t="s">
        <v>70</v>
      </c>
      <c r="R30">
        <v>0.03</v>
      </c>
      <c r="S30" t="s">
        <v>21</v>
      </c>
      <c r="T30">
        <v>30</v>
      </c>
      <c r="V30" t="str">
        <f>HYPERLINK("c:\users\omer\rl-qecc-data\reinforcementLearning\2026-08-02_14-39-04_1157237\postProcessing.png","plot")</f>
        <v>plot</v>
      </c>
      <c r="W30" t="str">
        <f>HYPERLINK("c:\users\omer\rl-qecc-data\reinforcementLearning\2026-08-02_14-39-04_1157237\experiment_6_6_seed_67","experiment.txt")</f>
        <v>experiment.txt</v>
      </c>
    </row>
    <row r="31" spans="6:23" x14ac:dyDescent="0.3">
      <c r="F31" t="s">
        <v>340</v>
      </c>
      <c r="G31" t="s">
        <v>81</v>
      </c>
      <c r="H31" t="s">
        <v>82</v>
      </c>
      <c r="I31">
        <v>90210</v>
      </c>
      <c r="J31" t="s">
        <v>69</v>
      </c>
      <c r="K31">
        <v>12</v>
      </c>
      <c r="M31" t="s">
        <v>18</v>
      </c>
      <c r="N31" t="s">
        <v>19</v>
      </c>
      <c r="O31">
        <v>0.1</v>
      </c>
      <c r="P31">
        <v>20</v>
      </c>
      <c r="Q31" t="s">
        <v>83</v>
      </c>
      <c r="R31">
        <v>0.03</v>
      </c>
      <c r="S31" t="s">
        <v>21</v>
      </c>
      <c r="T31">
        <v>30</v>
      </c>
      <c r="V31" t="str">
        <f>HYPERLINK("c:\users\omer\rl-qecc-data\reinforcementLearning\2026-08-02_14-39-04_1628429\postProcessing.png","plot")</f>
        <v>plot</v>
      </c>
      <c r="W31" t="str">
        <f>HYPERLINK("c:\users\omer\rl-qecc-data\reinforcementLearning\2026-08-02_14-39-04_1628429\experiment_6_6_seed_90210","experiment.txt")</f>
        <v>experiment.txt</v>
      </c>
    </row>
    <row r="32" spans="6:23" x14ac:dyDescent="0.3">
      <c r="F32" t="s">
        <v>340</v>
      </c>
      <c r="G32" t="s">
        <v>84</v>
      </c>
      <c r="H32" t="s">
        <v>85</v>
      </c>
      <c r="I32">
        <v>466555</v>
      </c>
      <c r="J32" t="s">
        <v>69</v>
      </c>
      <c r="K32">
        <v>12</v>
      </c>
      <c r="M32" t="s">
        <v>18</v>
      </c>
      <c r="N32" t="s">
        <v>19</v>
      </c>
      <c r="O32">
        <v>0.1</v>
      </c>
      <c r="P32">
        <v>20</v>
      </c>
      <c r="Q32" t="s">
        <v>83</v>
      </c>
      <c r="R32">
        <v>0.03</v>
      </c>
      <c r="S32" t="s">
        <v>21</v>
      </c>
      <c r="T32">
        <v>30</v>
      </c>
      <c r="V32" t="str">
        <f>HYPERLINK("c:\users\omer\rl-qecc-data\reinforcementLearning\2026-08-02_14-39-04_1628458\postProcessing.png","plot")</f>
        <v>plot</v>
      </c>
      <c r="W32" t="str">
        <f>HYPERLINK("c:\users\omer\rl-qecc-data\reinforcementLearning\2026-08-02_14-39-04_1628458\experiment_6_6_seed_466555","experiment.txt")</f>
        <v>experiment.txt</v>
      </c>
    </row>
    <row r="33" spans="6:23" x14ac:dyDescent="0.3">
      <c r="F33" t="s">
        <v>340</v>
      </c>
      <c r="G33" t="s">
        <v>86</v>
      </c>
      <c r="H33" t="s">
        <v>87</v>
      </c>
      <c r="I33">
        <v>460101</v>
      </c>
      <c r="J33" t="s">
        <v>69</v>
      </c>
      <c r="K33">
        <v>12</v>
      </c>
      <c r="M33" t="s">
        <v>18</v>
      </c>
      <c r="N33" t="s">
        <v>19</v>
      </c>
      <c r="O33">
        <v>0.1</v>
      </c>
      <c r="P33">
        <v>20</v>
      </c>
      <c r="Q33" t="s">
        <v>83</v>
      </c>
      <c r="R33">
        <v>0.03</v>
      </c>
      <c r="S33" t="s">
        <v>21</v>
      </c>
      <c r="T33">
        <v>30</v>
      </c>
      <c r="V33" t="str">
        <f>HYPERLINK("c:\users\omer\rl-qecc-data\reinforcementLearning\2026-08-02_14-39-04_1628487\postProcessing.png","plot")</f>
        <v>plot</v>
      </c>
      <c r="W33" t="str">
        <f>HYPERLINK("c:\users\omer\rl-qecc-data\reinforcementLearning\2026-08-02_14-39-04_1628487\experiment_6_6_seed_460101","experiment.txt")</f>
        <v>experiment.txt</v>
      </c>
    </row>
    <row r="34" spans="6:23" x14ac:dyDescent="0.3">
      <c r="F34" t="s">
        <v>340</v>
      </c>
      <c r="G34" t="s">
        <v>88</v>
      </c>
      <c r="H34" t="s">
        <v>89</v>
      </c>
      <c r="I34">
        <v>7134066</v>
      </c>
      <c r="J34" t="s">
        <v>69</v>
      </c>
      <c r="K34">
        <v>12</v>
      </c>
      <c r="M34" t="s">
        <v>18</v>
      </c>
      <c r="N34" t="s">
        <v>19</v>
      </c>
      <c r="O34">
        <v>0.1</v>
      </c>
      <c r="P34">
        <v>20</v>
      </c>
      <c r="Q34" t="s">
        <v>83</v>
      </c>
      <c r="R34">
        <v>0.03</v>
      </c>
      <c r="S34" t="s">
        <v>21</v>
      </c>
      <c r="T34">
        <v>30</v>
      </c>
      <c r="V34" t="str">
        <f>HYPERLINK("c:\users\omer\rl-qecc-data\reinforcementLearning\2026-08-02_14-39-04_1628515\postProcessing.png","plot")</f>
        <v>plot</v>
      </c>
      <c r="W34" t="str">
        <f>HYPERLINK("c:\users\omer\rl-qecc-data\reinforcementLearning\2026-08-02_14-39-04_1628515\experiment_6_6_seed_7134066","experiment.txt")</f>
        <v>experiment.txt</v>
      </c>
    </row>
    <row r="35" spans="6:23" x14ac:dyDescent="0.3">
      <c r="F35" t="s">
        <v>340</v>
      </c>
      <c r="G35" t="s">
        <v>90</v>
      </c>
      <c r="H35" t="s">
        <v>91</v>
      </c>
      <c r="I35">
        <v>999</v>
      </c>
      <c r="J35" t="s">
        <v>69</v>
      </c>
      <c r="K35">
        <v>12</v>
      </c>
      <c r="M35" t="s">
        <v>18</v>
      </c>
      <c r="N35" t="s">
        <v>19</v>
      </c>
      <c r="O35">
        <v>0.1</v>
      </c>
      <c r="P35">
        <v>20</v>
      </c>
      <c r="Q35" t="s">
        <v>83</v>
      </c>
      <c r="R35">
        <v>0.03</v>
      </c>
      <c r="S35" t="s">
        <v>21</v>
      </c>
      <c r="T35">
        <v>30</v>
      </c>
      <c r="V35" t="str">
        <f>HYPERLINK("c:\users\omer\rl-qecc-data\reinforcementLearning\2026-08-02_14-39-04_1628546\postProcessing.png","plot")</f>
        <v>plot</v>
      </c>
      <c r="W35" t="str">
        <f>HYPERLINK("c:\users\omer\rl-qecc-data\reinforcementLearning\2026-08-02_14-39-04_1628546\experiment_6_6_seed_999","experiment.txt")</f>
        <v>experiment.txt</v>
      </c>
    </row>
    <row r="36" spans="6:23" x14ac:dyDescent="0.3">
      <c r="F36" t="s">
        <v>340</v>
      </c>
      <c r="G36" t="s">
        <v>92</v>
      </c>
      <c r="H36" t="s">
        <v>93</v>
      </c>
      <c r="I36">
        <v>67</v>
      </c>
      <c r="J36" t="s">
        <v>69</v>
      </c>
      <c r="K36">
        <v>12</v>
      </c>
      <c r="M36" t="s">
        <v>18</v>
      </c>
      <c r="N36" t="s">
        <v>19</v>
      </c>
      <c r="O36">
        <v>0.1</v>
      </c>
      <c r="P36">
        <v>20</v>
      </c>
      <c r="Q36" t="s">
        <v>83</v>
      </c>
      <c r="R36">
        <v>0.03</v>
      </c>
      <c r="S36" t="s">
        <v>21</v>
      </c>
      <c r="T36">
        <v>30</v>
      </c>
      <c r="V36" t="str">
        <f>HYPERLINK("c:\users\omer\rl-qecc-data\reinforcementLearning\2026-08-02_14-39-04_1628573\postProcessing.png","plot")</f>
        <v>plot</v>
      </c>
      <c r="W36" t="str">
        <f>HYPERLINK("c:\users\omer\rl-qecc-data\reinforcementLearning\2026-08-02_14-39-04_1628573\experiment_6_6_seed_67","experiment.txt")</f>
        <v>experiment.txt</v>
      </c>
    </row>
    <row r="37" spans="6:23" x14ac:dyDescent="0.3">
      <c r="F37" t="s">
        <v>340</v>
      </c>
      <c r="G37" t="s">
        <v>94</v>
      </c>
      <c r="H37" t="s">
        <v>95</v>
      </c>
      <c r="I37">
        <v>90210</v>
      </c>
      <c r="J37" t="s">
        <v>69</v>
      </c>
      <c r="K37">
        <v>12</v>
      </c>
      <c r="M37" t="s">
        <v>18</v>
      </c>
      <c r="N37" t="s">
        <v>19</v>
      </c>
      <c r="O37">
        <v>0.1</v>
      </c>
      <c r="P37">
        <v>20</v>
      </c>
      <c r="Q37" t="s">
        <v>96</v>
      </c>
      <c r="R37">
        <v>0.03</v>
      </c>
      <c r="S37" t="s">
        <v>21</v>
      </c>
      <c r="T37">
        <v>30</v>
      </c>
      <c r="V37" t="str">
        <f>HYPERLINK("c:\users\omer\rl-qecc-data\reinforcementLearning\2026-08-02_14-39-04_418166\postProcessing.png","plot")</f>
        <v>plot</v>
      </c>
      <c r="W37" t="str">
        <f>HYPERLINK("c:\users\omer\rl-qecc-data\reinforcementLearning\2026-08-02_14-39-04_418166\experiment_6_6_seed_90210","experiment.txt")</f>
        <v>experiment.txt</v>
      </c>
    </row>
    <row r="38" spans="6:23" x14ac:dyDescent="0.3">
      <c r="F38" t="s">
        <v>340</v>
      </c>
      <c r="G38" t="s">
        <v>97</v>
      </c>
      <c r="H38" t="s">
        <v>98</v>
      </c>
      <c r="I38">
        <v>466555</v>
      </c>
      <c r="J38" t="s">
        <v>69</v>
      </c>
      <c r="K38">
        <v>12</v>
      </c>
      <c r="M38" t="s">
        <v>18</v>
      </c>
      <c r="N38" t="s">
        <v>19</v>
      </c>
      <c r="O38">
        <v>0.1</v>
      </c>
      <c r="P38">
        <v>20</v>
      </c>
      <c r="Q38" t="s">
        <v>96</v>
      </c>
      <c r="R38">
        <v>0.03</v>
      </c>
      <c r="S38" t="s">
        <v>21</v>
      </c>
      <c r="T38">
        <v>30</v>
      </c>
      <c r="V38" t="str">
        <f>HYPERLINK("c:\users\omer\rl-qecc-data\reinforcementLearning\2026-08-02_14-39-04_418194\postProcessing.png","plot")</f>
        <v>plot</v>
      </c>
      <c r="W38" t="str">
        <f>HYPERLINK("c:\users\omer\rl-qecc-data\reinforcementLearning\2026-08-02_14-39-04_418194\experiment_6_6_seed_466555","experiment.txt")</f>
        <v>experiment.txt</v>
      </c>
    </row>
    <row r="39" spans="6:23" x14ac:dyDescent="0.3">
      <c r="F39" t="s">
        <v>340</v>
      </c>
      <c r="G39" t="s">
        <v>99</v>
      </c>
      <c r="H39" t="s">
        <v>100</v>
      </c>
      <c r="I39">
        <v>460101</v>
      </c>
      <c r="J39" t="s">
        <v>69</v>
      </c>
      <c r="K39">
        <v>12</v>
      </c>
      <c r="M39" t="s">
        <v>18</v>
      </c>
      <c r="N39" t="s">
        <v>19</v>
      </c>
      <c r="O39">
        <v>0.1</v>
      </c>
      <c r="P39">
        <v>20</v>
      </c>
      <c r="Q39" t="s">
        <v>96</v>
      </c>
      <c r="R39">
        <v>0.03</v>
      </c>
      <c r="S39" t="s">
        <v>21</v>
      </c>
      <c r="T39">
        <v>30</v>
      </c>
      <c r="V39" t="str">
        <f>HYPERLINK("c:\users\omer\rl-qecc-data\reinforcementLearning\2026-08-02_14-39-04_418220\postProcessing.png","plot")</f>
        <v>plot</v>
      </c>
      <c r="W39" t="str">
        <f>HYPERLINK("c:\users\omer\rl-qecc-data\reinforcementLearning\2026-08-02_14-39-04_418220\experiment_6_6_seed_460101","experiment.txt")</f>
        <v>experiment.txt</v>
      </c>
    </row>
    <row r="40" spans="6:23" x14ac:dyDescent="0.3">
      <c r="F40" t="s">
        <v>340</v>
      </c>
      <c r="G40" t="s">
        <v>101</v>
      </c>
      <c r="H40" t="s">
        <v>102</v>
      </c>
      <c r="I40">
        <v>7134066</v>
      </c>
      <c r="J40" t="s">
        <v>69</v>
      </c>
      <c r="K40">
        <v>12</v>
      </c>
      <c r="M40" t="s">
        <v>18</v>
      </c>
      <c r="N40" t="s">
        <v>19</v>
      </c>
      <c r="O40">
        <v>0.1</v>
      </c>
      <c r="P40">
        <v>20</v>
      </c>
      <c r="Q40" t="s">
        <v>96</v>
      </c>
      <c r="R40">
        <v>0.03</v>
      </c>
      <c r="S40" t="s">
        <v>21</v>
      </c>
      <c r="T40">
        <v>30</v>
      </c>
      <c r="V40" t="str">
        <f>HYPERLINK("c:\users\omer\rl-qecc-data\reinforcementLearning\2026-08-02_14-39-04_418247\postProcessing.png","plot")</f>
        <v>plot</v>
      </c>
      <c r="W40" t="str">
        <f>HYPERLINK("c:\users\omer\rl-qecc-data\reinforcementLearning\2026-08-02_14-39-04_418247\experiment_6_6_seed_7134066","experiment.txt")</f>
        <v>experiment.txt</v>
      </c>
    </row>
    <row r="41" spans="6:23" x14ac:dyDescent="0.3">
      <c r="F41" t="s">
        <v>340</v>
      </c>
      <c r="G41" t="s">
        <v>103</v>
      </c>
      <c r="H41" t="s">
        <v>104</v>
      </c>
      <c r="I41">
        <v>999</v>
      </c>
      <c r="J41" t="s">
        <v>69</v>
      </c>
      <c r="K41">
        <v>12</v>
      </c>
      <c r="M41" t="s">
        <v>18</v>
      </c>
      <c r="N41" t="s">
        <v>19</v>
      </c>
      <c r="O41">
        <v>0.1</v>
      </c>
      <c r="P41">
        <v>20</v>
      </c>
      <c r="Q41" t="s">
        <v>96</v>
      </c>
      <c r="R41">
        <v>0.03</v>
      </c>
      <c r="S41" t="s">
        <v>21</v>
      </c>
      <c r="T41">
        <v>30</v>
      </c>
      <c r="V41" t="str">
        <f>HYPERLINK("c:\users\omer\rl-qecc-data\reinforcementLearning\2026-08-02_14-39-04_418276\postProcessing.png","plot")</f>
        <v>plot</v>
      </c>
      <c r="W41" t="str">
        <f>HYPERLINK("c:\users\omer\rl-qecc-data\reinforcementLearning\2026-08-02_14-39-04_418276\experiment_6_6_seed_999","experiment.txt")</f>
        <v>experiment.txt</v>
      </c>
    </row>
    <row r="42" spans="6:23" x14ac:dyDescent="0.3">
      <c r="F42" t="s">
        <v>340</v>
      </c>
      <c r="G42" t="s">
        <v>105</v>
      </c>
      <c r="H42" t="s">
        <v>106</v>
      </c>
      <c r="I42">
        <v>67</v>
      </c>
      <c r="J42" t="s">
        <v>69</v>
      </c>
      <c r="K42">
        <v>12</v>
      </c>
      <c r="M42" t="s">
        <v>18</v>
      </c>
      <c r="N42" t="s">
        <v>19</v>
      </c>
      <c r="O42">
        <v>0.1</v>
      </c>
      <c r="P42">
        <v>20</v>
      </c>
      <c r="Q42" t="s">
        <v>96</v>
      </c>
      <c r="R42">
        <v>0.03</v>
      </c>
      <c r="S42" t="s">
        <v>21</v>
      </c>
      <c r="T42">
        <v>30</v>
      </c>
      <c r="V42" t="str">
        <f>HYPERLINK("c:\users\omer\rl-qecc-data\reinforcementLearning\2026-08-02_14-39-04_418305\postProcessing.png","plot")</f>
        <v>plot</v>
      </c>
      <c r="W42" t="str">
        <f>HYPERLINK("c:\users\omer\rl-qecc-data\reinforcementLearning\2026-08-02_14-39-04_418305\experiment_6_6_seed_67","experiment.txt")</f>
        <v>experiment.txt</v>
      </c>
    </row>
    <row r="43" spans="6:23" x14ac:dyDescent="0.3">
      <c r="F43" t="s">
        <v>340</v>
      </c>
      <c r="G43" t="s">
        <v>107</v>
      </c>
      <c r="H43" t="s">
        <v>108</v>
      </c>
      <c r="I43">
        <v>90210</v>
      </c>
      <c r="J43" t="s">
        <v>69</v>
      </c>
      <c r="K43">
        <v>12</v>
      </c>
      <c r="M43" t="s">
        <v>18</v>
      </c>
      <c r="N43" t="s">
        <v>19</v>
      </c>
      <c r="O43">
        <v>0.1</v>
      </c>
      <c r="P43">
        <v>20</v>
      </c>
      <c r="Q43" t="s">
        <v>109</v>
      </c>
      <c r="R43">
        <v>0.03</v>
      </c>
      <c r="S43" t="s">
        <v>21</v>
      </c>
      <c r="T43">
        <v>30</v>
      </c>
      <c r="V43" t="str">
        <f>HYPERLINK("c:\users\omer\rl-qecc-data\reinforcementLearning\2026-08-02_21-18-53_453521\postProcessing.png","plot")</f>
        <v>plot</v>
      </c>
      <c r="W43" t="str">
        <f>HYPERLINK("c:\users\omer\rl-qecc-data\reinforcementLearning\2026-08-02_21-18-53_453521\experiment_6_6_seed_90210","experiment.txt")</f>
        <v>experiment.txt</v>
      </c>
    </row>
    <row r="44" spans="6:23" x14ac:dyDescent="0.3">
      <c r="F44" t="s">
        <v>340</v>
      </c>
      <c r="G44" t="s">
        <v>110</v>
      </c>
      <c r="H44" t="s">
        <v>111</v>
      </c>
      <c r="I44">
        <v>466555</v>
      </c>
      <c r="J44" t="s">
        <v>69</v>
      </c>
      <c r="K44">
        <v>12</v>
      </c>
      <c r="M44" t="s">
        <v>18</v>
      </c>
      <c r="N44" t="s">
        <v>19</v>
      </c>
      <c r="O44">
        <v>0.1</v>
      </c>
      <c r="P44">
        <v>20</v>
      </c>
      <c r="Q44" t="s">
        <v>109</v>
      </c>
      <c r="R44">
        <v>0.03</v>
      </c>
      <c r="S44" t="s">
        <v>21</v>
      </c>
      <c r="T44">
        <v>30</v>
      </c>
      <c r="V44" t="str">
        <f>HYPERLINK("c:\users\omer\rl-qecc-data\reinforcementLearning\2026-08-02_21-18-53_453549\postProcessing.png","plot")</f>
        <v>plot</v>
      </c>
      <c r="W44" t="str">
        <f>HYPERLINK("c:\users\omer\rl-qecc-data\reinforcementLearning\2026-08-02_21-18-53_453549\experiment_6_6_seed_466555","experiment.txt")</f>
        <v>experiment.txt</v>
      </c>
    </row>
    <row r="45" spans="6:23" x14ac:dyDescent="0.3">
      <c r="F45" t="s">
        <v>340</v>
      </c>
      <c r="G45" t="s">
        <v>112</v>
      </c>
      <c r="H45" t="s">
        <v>113</v>
      </c>
      <c r="I45">
        <v>460101</v>
      </c>
      <c r="J45" t="s">
        <v>69</v>
      </c>
      <c r="K45">
        <v>12</v>
      </c>
      <c r="M45" t="s">
        <v>18</v>
      </c>
      <c r="N45" t="s">
        <v>19</v>
      </c>
      <c r="O45">
        <v>0.1</v>
      </c>
      <c r="P45">
        <v>20</v>
      </c>
      <c r="Q45" t="s">
        <v>109</v>
      </c>
      <c r="R45">
        <v>0.03</v>
      </c>
      <c r="S45" t="s">
        <v>21</v>
      </c>
      <c r="T45">
        <v>30</v>
      </c>
      <c r="V45" t="str">
        <f>HYPERLINK("c:\users\omer\rl-qecc-data\reinforcementLearning\2026-08-02_21-18-53_453576\postProcessing.png","plot")</f>
        <v>plot</v>
      </c>
      <c r="W45" t="str">
        <f>HYPERLINK("c:\users\omer\rl-qecc-data\reinforcementLearning\2026-08-02_21-18-53_453576\experiment_6_6_seed_460101","experiment.txt")</f>
        <v>experiment.txt</v>
      </c>
    </row>
    <row r="46" spans="6:23" x14ac:dyDescent="0.3">
      <c r="F46" t="s">
        <v>340</v>
      </c>
      <c r="G46" t="s">
        <v>114</v>
      </c>
      <c r="H46" t="s">
        <v>115</v>
      </c>
      <c r="I46">
        <v>7134066</v>
      </c>
      <c r="J46" t="s">
        <v>69</v>
      </c>
      <c r="K46">
        <v>12</v>
      </c>
      <c r="M46" t="s">
        <v>18</v>
      </c>
      <c r="N46" t="s">
        <v>19</v>
      </c>
      <c r="O46">
        <v>0.1</v>
      </c>
      <c r="P46">
        <v>20</v>
      </c>
      <c r="Q46" t="s">
        <v>109</v>
      </c>
      <c r="R46">
        <v>0.03</v>
      </c>
      <c r="S46" t="s">
        <v>21</v>
      </c>
      <c r="T46">
        <v>30</v>
      </c>
      <c r="V46" t="str">
        <f>HYPERLINK("c:\users\omer\rl-qecc-data\reinforcementLearning\2026-08-02_21-18-53_453605\postProcessing.png","plot")</f>
        <v>plot</v>
      </c>
      <c r="W46" t="str">
        <f>HYPERLINK("c:\users\omer\rl-qecc-data\reinforcementLearning\2026-08-02_21-18-53_453605\experiment_6_6_seed_7134066","experiment.txt")</f>
        <v>experiment.txt</v>
      </c>
    </row>
    <row r="47" spans="6:23" x14ac:dyDescent="0.3">
      <c r="F47" t="s">
        <v>340</v>
      </c>
      <c r="G47" t="s">
        <v>116</v>
      </c>
      <c r="H47" t="s">
        <v>117</v>
      </c>
      <c r="I47">
        <v>999</v>
      </c>
      <c r="J47" t="s">
        <v>69</v>
      </c>
      <c r="K47">
        <v>12</v>
      </c>
      <c r="M47" t="s">
        <v>18</v>
      </c>
      <c r="N47" t="s">
        <v>19</v>
      </c>
      <c r="O47">
        <v>0.1</v>
      </c>
      <c r="P47">
        <v>20</v>
      </c>
      <c r="Q47" t="s">
        <v>109</v>
      </c>
      <c r="R47">
        <v>0.03</v>
      </c>
      <c r="S47" t="s">
        <v>21</v>
      </c>
      <c r="T47">
        <v>30</v>
      </c>
      <c r="V47" t="str">
        <f>HYPERLINK("c:\users\omer\rl-qecc-data\reinforcementLearning\2026-08-02_21-18-53_453631\postProcessing.png","plot")</f>
        <v>plot</v>
      </c>
      <c r="W47" t="str">
        <f>HYPERLINK("c:\users\omer\rl-qecc-data\reinforcementLearning\2026-08-02_21-18-53_453631\experiment_6_6_seed_999","experiment.txt")</f>
        <v>experiment.txt</v>
      </c>
    </row>
    <row r="48" spans="6:23" x14ac:dyDescent="0.3">
      <c r="F48" t="s">
        <v>340</v>
      </c>
      <c r="G48" t="s">
        <v>118</v>
      </c>
      <c r="H48" t="s">
        <v>119</v>
      </c>
      <c r="I48">
        <v>67</v>
      </c>
      <c r="J48" t="s">
        <v>69</v>
      </c>
      <c r="K48">
        <v>12</v>
      </c>
      <c r="M48" t="s">
        <v>18</v>
      </c>
      <c r="N48" t="s">
        <v>19</v>
      </c>
      <c r="O48">
        <v>0.1</v>
      </c>
      <c r="P48">
        <v>20</v>
      </c>
      <c r="Q48" t="s">
        <v>109</v>
      </c>
      <c r="R48">
        <v>0.03</v>
      </c>
      <c r="S48" t="s">
        <v>21</v>
      </c>
      <c r="T48">
        <v>30</v>
      </c>
      <c r="V48" t="str">
        <f>HYPERLINK("c:\users\omer\rl-qecc-data\reinforcementLearning\2026-08-02_21-18-53_453658\postProcessing.png","plot")</f>
        <v>plot</v>
      </c>
      <c r="W48" t="str">
        <f>HYPERLINK("c:\users\omer\rl-qecc-data\reinforcementLearning\2026-08-02_21-18-53_453658\experiment_6_6_seed_67","experiment.txt")</f>
        <v>experiment.txt</v>
      </c>
    </row>
    <row r="49" spans="6:23" x14ac:dyDescent="0.3">
      <c r="F49" t="s">
        <v>340</v>
      </c>
      <c r="G49" t="s">
        <v>120</v>
      </c>
      <c r="H49" t="s">
        <v>121</v>
      </c>
      <c r="I49">
        <v>90210</v>
      </c>
      <c r="J49" t="s">
        <v>69</v>
      </c>
      <c r="K49">
        <v>12</v>
      </c>
      <c r="M49" t="s">
        <v>18</v>
      </c>
      <c r="N49" t="s">
        <v>19</v>
      </c>
      <c r="O49">
        <v>0.1</v>
      </c>
      <c r="P49">
        <v>20</v>
      </c>
      <c r="Q49" t="s">
        <v>122</v>
      </c>
      <c r="R49">
        <v>0.03</v>
      </c>
      <c r="S49" t="s">
        <v>21</v>
      </c>
      <c r="T49">
        <v>30</v>
      </c>
      <c r="V49" t="str">
        <f>HYPERLINK("c:\users\omer\rl-qecc-data\reinforcementLearning\2026-08-02_21-47-54_1667237\postProcessing.png","plot")</f>
        <v>plot</v>
      </c>
      <c r="W49" t="str">
        <f>HYPERLINK("c:\users\omer\rl-qecc-data\reinforcementLearning\2026-08-02_21-47-54_1667237\experiment_6_6_seed_90210","experiment.txt")</f>
        <v>experiment.txt</v>
      </c>
    </row>
    <row r="50" spans="6:23" x14ac:dyDescent="0.3">
      <c r="F50" t="s">
        <v>340</v>
      </c>
      <c r="G50" t="s">
        <v>123</v>
      </c>
      <c r="H50" t="s">
        <v>124</v>
      </c>
      <c r="I50">
        <v>466555</v>
      </c>
      <c r="J50" t="s">
        <v>69</v>
      </c>
      <c r="K50">
        <v>12</v>
      </c>
      <c r="M50" t="s">
        <v>18</v>
      </c>
      <c r="N50" t="s">
        <v>19</v>
      </c>
      <c r="O50">
        <v>0.1</v>
      </c>
      <c r="P50">
        <v>20</v>
      </c>
      <c r="Q50" t="s">
        <v>122</v>
      </c>
      <c r="R50">
        <v>0.03</v>
      </c>
      <c r="S50" t="s">
        <v>21</v>
      </c>
      <c r="T50">
        <v>30</v>
      </c>
      <c r="V50" t="str">
        <f>HYPERLINK("c:\users\omer\rl-qecc-data\reinforcementLearning\2026-08-02_21-47-56_1667265\postProcessing.png","plot")</f>
        <v>plot</v>
      </c>
      <c r="W50" t="str">
        <f>HYPERLINK("c:\users\omer\rl-qecc-data\reinforcementLearning\2026-08-02_21-47-56_1667265\experiment_6_6_seed_466555","experiment.txt")</f>
        <v>experiment.txt</v>
      </c>
    </row>
    <row r="51" spans="6:23" x14ac:dyDescent="0.3">
      <c r="F51" t="s">
        <v>340</v>
      </c>
      <c r="G51" t="s">
        <v>125</v>
      </c>
      <c r="H51" t="s">
        <v>126</v>
      </c>
      <c r="I51">
        <v>460101</v>
      </c>
      <c r="J51" t="s">
        <v>69</v>
      </c>
      <c r="K51">
        <v>12</v>
      </c>
      <c r="M51" t="s">
        <v>18</v>
      </c>
      <c r="N51" t="s">
        <v>19</v>
      </c>
      <c r="O51">
        <v>0.1</v>
      </c>
      <c r="P51">
        <v>20</v>
      </c>
      <c r="Q51" t="s">
        <v>122</v>
      </c>
      <c r="R51">
        <v>0.03</v>
      </c>
      <c r="S51" t="s">
        <v>21</v>
      </c>
      <c r="T51">
        <v>30</v>
      </c>
      <c r="V51" t="str">
        <f>HYPERLINK("c:\users\omer\rl-qecc-data\reinforcementLearning\2026-08-02_21-47-59_1667293\postProcessing.png","plot")</f>
        <v>plot</v>
      </c>
      <c r="W51" t="str">
        <f>HYPERLINK("c:\users\omer\rl-qecc-data\reinforcementLearning\2026-08-02_21-47-59_1667293\experiment_6_6_seed_460101","experiment.txt")</f>
        <v>experiment.txt</v>
      </c>
    </row>
    <row r="52" spans="6:23" x14ac:dyDescent="0.3">
      <c r="F52" t="s">
        <v>340</v>
      </c>
      <c r="G52" t="s">
        <v>127</v>
      </c>
      <c r="H52" t="s">
        <v>128</v>
      </c>
      <c r="I52">
        <v>7134066</v>
      </c>
      <c r="J52" t="s">
        <v>69</v>
      </c>
      <c r="K52">
        <v>12</v>
      </c>
      <c r="M52" t="s">
        <v>18</v>
      </c>
      <c r="N52" t="s">
        <v>19</v>
      </c>
      <c r="O52">
        <v>0.1</v>
      </c>
      <c r="P52">
        <v>20</v>
      </c>
      <c r="Q52" t="s">
        <v>122</v>
      </c>
      <c r="R52">
        <v>0.03</v>
      </c>
      <c r="S52" t="s">
        <v>21</v>
      </c>
      <c r="T52">
        <v>30</v>
      </c>
      <c r="V52" t="str">
        <f>HYPERLINK("c:\users\omer\rl-qecc-data\reinforcementLearning\2026-08-02_21-48-03_1667339\postProcessing.png","plot")</f>
        <v>plot</v>
      </c>
      <c r="W52" t="str">
        <f>HYPERLINK("c:\users\omer\rl-qecc-data\reinforcementLearning\2026-08-02_21-48-03_1667339\experiment_6_6_seed_7134066","experiment.txt")</f>
        <v>experiment.txt</v>
      </c>
    </row>
    <row r="53" spans="6:23" x14ac:dyDescent="0.3">
      <c r="F53" t="s">
        <v>340</v>
      </c>
      <c r="G53" t="s">
        <v>129</v>
      </c>
      <c r="H53" t="s">
        <v>130</v>
      </c>
      <c r="I53">
        <v>999</v>
      </c>
      <c r="J53" t="s">
        <v>69</v>
      </c>
      <c r="K53">
        <v>12</v>
      </c>
      <c r="M53" t="s">
        <v>18</v>
      </c>
      <c r="N53" t="s">
        <v>19</v>
      </c>
      <c r="O53">
        <v>0.1</v>
      </c>
      <c r="P53">
        <v>20</v>
      </c>
      <c r="Q53" t="s">
        <v>122</v>
      </c>
      <c r="R53">
        <v>0.03</v>
      </c>
      <c r="S53" t="s">
        <v>21</v>
      </c>
      <c r="T53">
        <v>30</v>
      </c>
      <c r="V53" t="str">
        <f>HYPERLINK("c:\users\omer\rl-qecc-data\reinforcementLearning\2026-08-02_21-48-07_1667392\postProcessing.png","plot")</f>
        <v>plot</v>
      </c>
      <c r="W53" t="str">
        <f>HYPERLINK("c:\users\omer\rl-qecc-data\reinforcementLearning\2026-08-02_21-48-07_1667392\experiment_6_6_seed_999","experiment.txt")</f>
        <v>experiment.txt</v>
      </c>
    </row>
    <row r="54" spans="6:23" x14ac:dyDescent="0.3">
      <c r="F54" t="s">
        <v>340</v>
      </c>
      <c r="G54" t="s">
        <v>131</v>
      </c>
      <c r="H54" t="s">
        <v>132</v>
      </c>
      <c r="I54">
        <v>67</v>
      </c>
      <c r="J54" t="s">
        <v>69</v>
      </c>
      <c r="K54">
        <v>12</v>
      </c>
      <c r="M54" t="s">
        <v>18</v>
      </c>
      <c r="N54" t="s">
        <v>19</v>
      </c>
      <c r="O54">
        <v>0.1</v>
      </c>
      <c r="P54">
        <v>20</v>
      </c>
      <c r="Q54" t="s">
        <v>122</v>
      </c>
      <c r="R54">
        <v>0.03</v>
      </c>
      <c r="S54" t="s">
        <v>21</v>
      </c>
      <c r="T54">
        <v>30</v>
      </c>
      <c r="V54" t="str">
        <f>HYPERLINK("c:\users\omer\rl-qecc-data\reinforcementLearning\2026-08-02_21-48-09_1667450\postProcessing.png","plot")</f>
        <v>plot</v>
      </c>
      <c r="W54" t="str">
        <f>HYPERLINK("c:\users\omer\rl-qecc-data\reinforcementLearning\2026-08-02_21-48-09_1667450\experiment_6_6_seed_67","experiment.txt")</f>
        <v>experiment.txt</v>
      </c>
    </row>
    <row r="55" spans="6:23" x14ac:dyDescent="0.3">
      <c r="F55" t="s">
        <v>340</v>
      </c>
      <c r="G55" t="s">
        <v>133</v>
      </c>
      <c r="H55" t="s">
        <v>134</v>
      </c>
      <c r="I55">
        <v>90210</v>
      </c>
      <c r="J55" t="s">
        <v>69</v>
      </c>
      <c r="K55">
        <v>12</v>
      </c>
      <c r="M55" t="s">
        <v>18</v>
      </c>
      <c r="N55" t="s">
        <v>19</v>
      </c>
      <c r="O55">
        <v>0.1</v>
      </c>
      <c r="P55">
        <v>20</v>
      </c>
      <c r="Q55" t="s">
        <v>135</v>
      </c>
      <c r="R55">
        <v>0.03</v>
      </c>
      <c r="S55" t="s">
        <v>21</v>
      </c>
      <c r="T55">
        <v>30</v>
      </c>
      <c r="V55" t="str">
        <f>HYPERLINK("c:\users\omer\rl-qecc-data\reinforcementLearning\2026-08-02_21-54-41_1194894\postProcessing.png","plot")</f>
        <v>plot</v>
      </c>
      <c r="W55" t="str">
        <f>HYPERLINK("c:\users\omer\rl-qecc-data\reinforcementLearning\2026-08-02_21-54-41_1194894\experiment_6_6_seed_90210","experiment.txt")</f>
        <v>experiment.txt</v>
      </c>
    </row>
    <row r="56" spans="6:23" x14ac:dyDescent="0.3">
      <c r="F56" t="s">
        <v>340</v>
      </c>
      <c r="G56" t="s">
        <v>136</v>
      </c>
      <c r="H56" t="s">
        <v>137</v>
      </c>
      <c r="I56">
        <v>466555</v>
      </c>
      <c r="J56" t="s">
        <v>69</v>
      </c>
      <c r="K56">
        <v>12</v>
      </c>
      <c r="M56" t="s">
        <v>18</v>
      </c>
      <c r="N56" t="s">
        <v>19</v>
      </c>
      <c r="O56">
        <v>0.1</v>
      </c>
      <c r="P56">
        <v>20</v>
      </c>
      <c r="Q56" t="s">
        <v>135</v>
      </c>
      <c r="R56">
        <v>0.03</v>
      </c>
      <c r="S56" t="s">
        <v>21</v>
      </c>
      <c r="T56">
        <v>30</v>
      </c>
      <c r="V56" t="str">
        <f>HYPERLINK("c:\users\omer\rl-qecc-data\reinforcementLearning\2026-08-02_21-54-42_1194923\postProcessing.png","plot")</f>
        <v>plot</v>
      </c>
      <c r="W56" t="str">
        <f>HYPERLINK("c:\users\omer\rl-qecc-data\reinforcementLearning\2026-08-02_21-54-42_1194923\experiment_6_6_seed_466555","experiment.txt")</f>
        <v>experiment.txt</v>
      </c>
    </row>
    <row r="57" spans="6:23" x14ac:dyDescent="0.3">
      <c r="F57" t="s">
        <v>340</v>
      </c>
      <c r="G57" t="s">
        <v>138</v>
      </c>
      <c r="H57" t="s">
        <v>139</v>
      </c>
      <c r="I57">
        <v>460101</v>
      </c>
      <c r="J57" t="s">
        <v>69</v>
      </c>
      <c r="K57">
        <v>12</v>
      </c>
      <c r="M57" t="s">
        <v>18</v>
      </c>
      <c r="N57" t="s">
        <v>19</v>
      </c>
      <c r="O57">
        <v>0.1</v>
      </c>
      <c r="P57">
        <v>20</v>
      </c>
      <c r="Q57" t="s">
        <v>135</v>
      </c>
      <c r="R57">
        <v>0.03</v>
      </c>
      <c r="S57" t="s">
        <v>21</v>
      </c>
      <c r="T57">
        <v>30</v>
      </c>
      <c r="V57" t="str">
        <f>HYPERLINK("c:\users\omer\rl-qecc-data\reinforcementLearning\2026-08-02_21-54-46_1194957\postProcessing.png","plot")</f>
        <v>plot</v>
      </c>
      <c r="W57" t="str">
        <f>HYPERLINK("c:\users\omer\rl-qecc-data\reinforcementLearning\2026-08-02_21-54-46_1194957\experiment_6_6_seed_460101","experiment.txt")</f>
        <v>experiment.txt</v>
      </c>
    </row>
    <row r="58" spans="6:23" x14ac:dyDescent="0.3">
      <c r="F58" t="s">
        <v>340</v>
      </c>
      <c r="G58" t="s">
        <v>140</v>
      </c>
      <c r="H58" t="s">
        <v>141</v>
      </c>
      <c r="I58">
        <v>7134066</v>
      </c>
      <c r="J58" t="s">
        <v>69</v>
      </c>
      <c r="K58">
        <v>12</v>
      </c>
      <c r="M58" t="s">
        <v>18</v>
      </c>
      <c r="N58" t="s">
        <v>19</v>
      </c>
      <c r="O58">
        <v>0.1</v>
      </c>
      <c r="P58">
        <v>20</v>
      </c>
      <c r="Q58" t="s">
        <v>135</v>
      </c>
      <c r="R58">
        <v>0.03</v>
      </c>
      <c r="S58" t="s">
        <v>21</v>
      </c>
      <c r="T58">
        <v>30</v>
      </c>
      <c r="V58" t="str">
        <f>HYPERLINK("c:\users\omer\rl-qecc-data\reinforcementLearning\2026-08-02_21-54-50_1195004\postProcessing.png","plot")</f>
        <v>plot</v>
      </c>
      <c r="W58" t="str">
        <f>HYPERLINK("c:\users\omer\rl-qecc-data\reinforcementLearning\2026-08-02_21-54-50_1195004\experiment_6_6_seed_7134066","experiment.txt")</f>
        <v>experiment.txt</v>
      </c>
    </row>
    <row r="59" spans="6:23" x14ac:dyDescent="0.3">
      <c r="F59" t="s">
        <v>340</v>
      </c>
      <c r="G59" t="s">
        <v>142</v>
      </c>
      <c r="H59" t="s">
        <v>143</v>
      </c>
      <c r="I59">
        <v>999</v>
      </c>
      <c r="J59" t="s">
        <v>69</v>
      </c>
      <c r="K59">
        <v>12</v>
      </c>
      <c r="M59" t="s">
        <v>18</v>
      </c>
      <c r="N59" t="s">
        <v>19</v>
      </c>
      <c r="O59">
        <v>0.1</v>
      </c>
      <c r="P59">
        <v>20</v>
      </c>
      <c r="Q59" t="s">
        <v>135</v>
      </c>
      <c r="R59">
        <v>0.03</v>
      </c>
      <c r="S59" t="s">
        <v>21</v>
      </c>
      <c r="T59">
        <v>30</v>
      </c>
      <c r="V59" t="str">
        <f>HYPERLINK("c:\users\omer\rl-qecc-data\reinforcementLearning\2026-08-02_21-54-53_1195062\postProcessing.png","plot")</f>
        <v>plot</v>
      </c>
      <c r="W59" t="str">
        <f>HYPERLINK("c:\users\omer\rl-qecc-data\reinforcementLearning\2026-08-02_21-54-53_1195062\experiment_6_6_seed_999","experiment.txt")</f>
        <v>experiment.txt</v>
      </c>
    </row>
    <row r="60" spans="6:23" x14ac:dyDescent="0.3">
      <c r="F60" t="s">
        <v>340</v>
      </c>
      <c r="G60" t="s">
        <v>144</v>
      </c>
      <c r="H60" t="s">
        <v>145</v>
      </c>
      <c r="I60">
        <v>67</v>
      </c>
      <c r="J60" t="s">
        <v>69</v>
      </c>
      <c r="K60">
        <v>12</v>
      </c>
      <c r="M60" t="s">
        <v>18</v>
      </c>
      <c r="N60" t="s">
        <v>19</v>
      </c>
      <c r="O60">
        <v>0.1</v>
      </c>
      <c r="P60">
        <v>20</v>
      </c>
      <c r="Q60" t="s">
        <v>135</v>
      </c>
      <c r="R60">
        <v>0.03</v>
      </c>
      <c r="S60" t="s">
        <v>21</v>
      </c>
      <c r="T60">
        <v>30</v>
      </c>
      <c r="V60" t="str">
        <f>HYPERLINK("c:\users\omer\rl-qecc-data\reinforcementLearning\2026-08-02_21-54-56_1195110\postProcessing.png","plot")</f>
        <v>plot</v>
      </c>
      <c r="W60" t="str">
        <f>HYPERLINK("c:\users\omer\rl-qecc-data\reinforcementLearning\2026-08-02_21-54-56_1195110\experiment_6_6_seed_67","experiment.txt")</f>
        <v>experiment.txt</v>
      </c>
    </row>
    <row r="61" spans="6:23" x14ac:dyDescent="0.3">
      <c r="F61" t="s">
        <v>340</v>
      </c>
      <c r="G61" t="s">
        <v>146</v>
      </c>
      <c r="H61" t="s">
        <v>147</v>
      </c>
      <c r="I61">
        <v>90210</v>
      </c>
      <c r="J61" t="s">
        <v>69</v>
      </c>
      <c r="K61">
        <v>12</v>
      </c>
      <c r="M61" t="s">
        <v>18</v>
      </c>
      <c r="N61" t="s">
        <v>19</v>
      </c>
      <c r="O61">
        <v>0.1</v>
      </c>
      <c r="P61">
        <v>20</v>
      </c>
      <c r="Q61" t="s">
        <v>148</v>
      </c>
      <c r="R61">
        <v>0.03</v>
      </c>
      <c r="S61" t="s">
        <v>21</v>
      </c>
      <c r="T61">
        <v>30</v>
      </c>
      <c r="V61" t="str">
        <f>HYPERLINK("c:\users\omer\rl-qecc-data\reinforcementLearning\2026-08-03_04-23-09_489753\postProcessing.png","plot")</f>
        <v>plot</v>
      </c>
      <c r="W61" t="str">
        <f>HYPERLINK("c:\users\omer\rl-qecc-data\reinforcementLearning\2026-08-03_04-23-09_489753\experiment_6_6_seed_90210","experiment.txt")</f>
        <v>experiment.txt</v>
      </c>
    </row>
    <row r="62" spans="6:23" x14ac:dyDescent="0.3">
      <c r="F62" t="s">
        <v>340</v>
      </c>
      <c r="G62" t="s">
        <v>149</v>
      </c>
      <c r="H62" t="s">
        <v>150</v>
      </c>
      <c r="I62">
        <v>466555</v>
      </c>
      <c r="J62" t="s">
        <v>69</v>
      </c>
      <c r="K62">
        <v>12</v>
      </c>
      <c r="M62" t="s">
        <v>18</v>
      </c>
      <c r="N62" t="s">
        <v>19</v>
      </c>
      <c r="O62">
        <v>0.1</v>
      </c>
      <c r="P62">
        <v>20</v>
      </c>
      <c r="Q62" t="s">
        <v>148</v>
      </c>
      <c r="R62">
        <v>0.03</v>
      </c>
      <c r="S62" t="s">
        <v>21</v>
      </c>
      <c r="T62">
        <v>30</v>
      </c>
      <c r="V62" t="str">
        <f>HYPERLINK("c:\users\omer\rl-qecc-data\reinforcementLearning\2026-08-03_04-23-09_489781\postProcessing.png","plot")</f>
        <v>plot</v>
      </c>
      <c r="W62" t="str">
        <f>HYPERLINK("c:\users\omer\rl-qecc-data\reinforcementLearning\2026-08-03_04-23-09_489781\experiment_6_6_seed_466555","experiment.txt")</f>
        <v>experiment.txt</v>
      </c>
    </row>
    <row r="63" spans="6:23" x14ac:dyDescent="0.3">
      <c r="F63" t="s">
        <v>340</v>
      </c>
      <c r="G63" t="s">
        <v>151</v>
      </c>
      <c r="H63" t="s">
        <v>152</v>
      </c>
      <c r="I63">
        <v>460101</v>
      </c>
      <c r="J63" t="s">
        <v>69</v>
      </c>
      <c r="K63">
        <v>12</v>
      </c>
      <c r="M63" t="s">
        <v>18</v>
      </c>
      <c r="N63" t="s">
        <v>19</v>
      </c>
      <c r="O63">
        <v>0.1</v>
      </c>
      <c r="P63">
        <v>20</v>
      </c>
      <c r="Q63" t="s">
        <v>148</v>
      </c>
      <c r="R63">
        <v>0.03</v>
      </c>
      <c r="S63" t="s">
        <v>21</v>
      </c>
      <c r="T63">
        <v>30</v>
      </c>
      <c r="V63" t="str">
        <f>HYPERLINK("c:\users\omer\rl-qecc-data\reinforcementLearning\2026-08-03_04-23-09_489809\postProcessing.png","plot")</f>
        <v>plot</v>
      </c>
      <c r="W63" t="str">
        <f>HYPERLINK("c:\users\omer\rl-qecc-data\reinforcementLearning\2026-08-03_04-23-09_489809\experiment_6_6_seed_460101","experiment.txt")</f>
        <v>experiment.txt</v>
      </c>
    </row>
    <row r="64" spans="6:23" x14ac:dyDescent="0.3">
      <c r="F64" t="s">
        <v>340</v>
      </c>
      <c r="G64" t="s">
        <v>153</v>
      </c>
      <c r="H64" t="s">
        <v>154</v>
      </c>
      <c r="I64">
        <v>7134066</v>
      </c>
      <c r="J64" t="s">
        <v>69</v>
      </c>
      <c r="K64">
        <v>12</v>
      </c>
      <c r="M64" t="s">
        <v>18</v>
      </c>
      <c r="N64" t="s">
        <v>19</v>
      </c>
      <c r="O64">
        <v>0.1</v>
      </c>
      <c r="P64">
        <v>20</v>
      </c>
      <c r="Q64" t="s">
        <v>148</v>
      </c>
      <c r="R64">
        <v>0.03</v>
      </c>
      <c r="S64" t="s">
        <v>21</v>
      </c>
      <c r="T64">
        <v>30</v>
      </c>
      <c r="V64" t="str">
        <f>HYPERLINK("c:\users\omer\rl-qecc-data\reinforcementLearning\2026-08-03_04-23-09_489837\postProcessing.png","plot")</f>
        <v>plot</v>
      </c>
      <c r="W64" t="str">
        <f>HYPERLINK("c:\users\omer\rl-qecc-data\reinforcementLearning\2026-08-03_04-23-09_489837\experiment_6_6_seed_7134066","experiment.txt")</f>
        <v>experiment.txt</v>
      </c>
    </row>
    <row r="65" spans="6:23" x14ac:dyDescent="0.3">
      <c r="F65" t="s">
        <v>340</v>
      </c>
      <c r="G65" t="s">
        <v>155</v>
      </c>
      <c r="H65" t="s">
        <v>156</v>
      </c>
      <c r="I65">
        <v>999</v>
      </c>
      <c r="J65" t="s">
        <v>69</v>
      </c>
      <c r="K65">
        <v>12</v>
      </c>
      <c r="M65" t="s">
        <v>18</v>
      </c>
      <c r="N65" t="s">
        <v>19</v>
      </c>
      <c r="O65">
        <v>0.1</v>
      </c>
      <c r="P65">
        <v>20</v>
      </c>
      <c r="Q65" t="s">
        <v>148</v>
      </c>
      <c r="R65">
        <v>0.03</v>
      </c>
      <c r="S65" t="s">
        <v>21</v>
      </c>
      <c r="T65">
        <v>30</v>
      </c>
      <c r="V65" t="str">
        <f>HYPERLINK("c:\users\omer\rl-qecc-data\reinforcementLearning\2026-08-03_04-23-09_489864\postProcessing.png","plot")</f>
        <v>plot</v>
      </c>
      <c r="W65" t="str">
        <f>HYPERLINK("c:\users\omer\rl-qecc-data\reinforcementLearning\2026-08-03_04-23-09_489864\experiment_6_6_seed_999","experiment.txt")</f>
        <v>experiment.txt</v>
      </c>
    </row>
    <row r="66" spans="6:23" x14ac:dyDescent="0.3">
      <c r="F66" t="s">
        <v>340</v>
      </c>
      <c r="G66" t="s">
        <v>157</v>
      </c>
      <c r="H66" t="s">
        <v>158</v>
      </c>
      <c r="I66">
        <v>67</v>
      </c>
      <c r="J66" t="s">
        <v>69</v>
      </c>
      <c r="K66">
        <v>12</v>
      </c>
      <c r="M66" t="s">
        <v>18</v>
      </c>
      <c r="N66" t="s">
        <v>19</v>
      </c>
      <c r="O66">
        <v>0.1</v>
      </c>
      <c r="P66">
        <v>20</v>
      </c>
      <c r="Q66" t="s">
        <v>148</v>
      </c>
      <c r="R66">
        <v>0.03</v>
      </c>
      <c r="S66" t="s">
        <v>21</v>
      </c>
      <c r="T66">
        <v>30</v>
      </c>
      <c r="V66" t="str">
        <f>HYPERLINK("c:\users\omer\rl-qecc-data\reinforcementLearning\2026-08-03_04-23-09_489890\postProcessing.png","plot")</f>
        <v>plot</v>
      </c>
      <c r="W66" t="str">
        <f>HYPERLINK("c:\users\omer\rl-qecc-data\reinforcementLearning\2026-08-03_04-23-09_489890\experiment_6_6_seed_67","experiment.txt")</f>
        <v>experiment.txt</v>
      </c>
    </row>
    <row r="67" spans="6:23" x14ac:dyDescent="0.3">
      <c r="F67" t="s">
        <v>340</v>
      </c>
      <c r="G67" t="s">
        <v>159</v>
      </c>
      <c r="H67" t="s">
        <v>160</v>
      </c>
      <c r="I67">
        <v>90210</v>
      </c>
      <c r="J67" t="s">
        <v>17</v>
      </c>
      <c r="K67">
        <v>8</v>
      </c>
      <c r="M67" t="s">
        <v>18</v>
      </c>
      <c r="N67" t="s">
        <v>19</v>
      </c>
      <c r="O67">
        <v>0.1</v>
      </c>
      <c r="P67">
        <v>20</v>
      </c>
      <c r="Q67" t="s">
        <v>161</v>
      </c>
      <c r="R67">
        <v>0.03</v>
      </c>
      <c r="S67" t="s">
        <v>21</v>
      </c>
      <c r="T67">
        <v>30</v>
      </c>
      <c r="V67" t="str">
        <f>HYPERLINK("c:\users\omer\rl-qecc-data\reinforcementLearning\2026-08-03_04-31-43_1700848\postProcessing.png","plot")</f>
        <v>plot</v>
      </c>
      <c r="W67" t="str">
        <f>HYPERLINK("c:\users\omer\rl-qecc-data\reinforcementLearning\2026-08-03_04-31-43_1700848\experiment_9_6_seed_90210","experiment.txt")</f>
        <v>experiment.txt</v>
      </c>
    </row>
    <row r="68" spans="6:23" x14ac:dyDescent="0.3">
      <c r="F68" t="s">
        <v>340</v>
      </c>
      <c r="G68" t="s">
        <v>162</v>
      </c>
      <c r="H68" t="s">
        <v>163</v>
      </c>
      <c r="I68">
        <v>466555</v>
      </c>
      <c r="J68" t="s">
        <v>17</v>
      </c>
      <c r="K68">
        <v>8</v>
      </c>
      <c r="M68" t="s">
        <v>18</v>
      </c>
      <c r="N68" t="s">
        <v>19</v>
      </c>
      <c r="O68">
        <v>0.1</v>
      </c>
      <c r="P68">
        <v>20</v>
      </c>
      <c r="Q68" t="s">
        <v>161</v>
      </c>
      <c r="R68">
        <v>0.03</v>
      </c>
      <c r="S68" t="s">
        <v>21</v>
      </c>
      <c r="T68">
        <v>30</v>
      </c>
      <c r="V68" t="str">
        <f>HYPERLINK("c:\users\omer\rl-qecc-data\reinforcementLearning\2026-08-03_04-31-45_1700876\postProcessing.png","plot")</f>
        <v>plot</v>
      </c>
      <c r="W68" t="str">
        <f>HYPERLINK("c:\users\omer\rl-qecc-data\reinforcementLearning\2026-08-03_04-31-45_1700876\experiment_9_6_seed_466555","experiment.txt")</f>
        <v>experiment.txt</v>
      </c>
    </row>
    <row r="69" spans="6:23" x14ac:dyDescent="0.3">
      <c r="F69" t="s">
        <v>340</v>
      </c>
      <c r="G69" t="s">
        <v>164</v>
      </c>
      <c r="H69" t="s">
        <v>165</v>
      </c>
      <c r="I69">
        <v>460101</v>
      </c>
      <c r="J69" t="s">
        <v>17</v>
      </c>
      <c r="K69">
        <v>8</v>
      </c>
      <c r="M69" t="s">
        <v>18</v>
      </c>
      <c r="N69" t="s">
        <v>19</v>
      </c>
      <c r="O69">
        <v>0.1</v>
      </c>
      <c r="P69">
        <v>20</v>
      </c>
      <c r="Q69" t="s">
        <v>161</v>
      </c>
      <c r="R69">
        <v>0.03</v>
      </c>
      <c r="S69" t="s">
        <v>21</v>
      </c>
      <c r="T69">
        <v>30</v>
      </c>
      <c r="V69" t="str">
        <f>HYPERLINK("c:\users\omer\rl-qecc-data\reinforcementLearning\2026-08-03_04-31-48_1700906\postProcessing.png","plot")</f>
        <v>plot</v>
      </c>
      <c r="W69" t="str">
        <f>HYPERLINK("c:\users\omer\rl-qecc-data\reinforcementLearning\2026-08-03_04-31-48_1700906\experiment_9_6_seed_460101","experiment.txt")</f>
        <v>experiment.txt</v>
      </c>
    </row>
    <row r="70" spans="6:23" x14ac:dyDescent="0.3">
      <c r="F70" t="s">
        <v>340</v>
      </c>
      <c r="G70" t="s">
        <v>166</v>
      </c>
      <c r="H70" t="s">
        <v>167</v>
      </c>
      <c r="I70">
        <v>7134066</v>
      </c>
      <c r="J70" t="s">
        <v>17</v>
      </c>
      <c r="K70">
        <v>8</v>
      </c>
      <c r="M70" t="s">
        <v>18</v>
      </c>
      <c r="N70" t="s">
        <v>19</v>
      </c>
      <c r="O70">
        <v>0.1</v>
      </c>
      <c r="P70">
        <v>20</v>
      </c>
      <c r="Q70" t="s">
        <v>161</v>
      </c>
      <c r="R70">
        <v>0.03</v>
      </c>
      <c r="S70" t="s">
        <v>21</v>
      </c>
      <c r="T70">
        <v>30</v>
      </c>
      <c r="V70" t="str">
        <f>HYPERLINK("c:\users\omer\rl-qecc-data\reinforcementLearning\2026-08-03_04-31-53_1700948\postProcessing.png","plot")</f>
        <v>plot</v>
      </c>
      <c r="W70" t="str">
        <f>HYPERLINK("c:\users\omer\rl-qecc-data\reinforcementLearning\2026-08-03_04-31-53_1700948\experiment_9_6_seed_7134066","experiment.txt")</f>
        <v>experiment.txt</v>
      </c>
    </row>
    <row r="71" spans="6:23" x14ac:dyDescent="0.3">
      <c r="F71" t="s">
        <v>340</v>
      </c>
      <c r="G71" t="s">
        <v>168</v>
      </c>
      <c r="H71" t="s">
        <v>169</v>
      </c>
      <c r="I71">
        <v>999</v>
      </c>
      <c r="J71" t="s">
        <v>17</v>
      </c>
      <c r="K71">
        <v>8</v>
      </c>
      <c r="M71" t="s">
        <v>18</v>
      </c>
      <c r="N71" t="s">
        <v>19</v>
      </c>
      <c r="O71">
        <v>0.1</v>
      </c>
      <c r="P71">
        <v>20</v>
      </c>
      <c r="Q71" t="s">
        <v>161</v>
      </c>
      <c r="R71">
        <v>0.03</v>
      </c>
      <c r="S71" t="s">
        <v>21</v>
      </c>
      <c r="T71">
        <v>30</v>
      </c>
      <c r="V71" t="str">
        <f>HYPERLINK("c:\users\omer\rl-qecc-data\reinforcementLearning\2026-08-03_04-31-56_1701013\postProcessing.png","plot")</f>
        <v>plot</v>
      </c>
      <c r="W71" t="str">
        <f>HYPERLINK("c:\users\omer\rl-qecc-data\reinforcementLearning\2026-08-03_04-31-56_1701013\experiment_9_6_seed_999","experiment.txt")</f>
        <v>experiment.txt</v>
      </c>
    </row>
    <row r="72" spans="6:23" x14ac:dyDescent="0.3">
      <c r="F72" t="s">
        <v>340</v>
      </c>
      <c r="G72" t="s">
        <v>170</v>
      </c>
      <c r="H72" t="s">
        <v>171</v>
      </c>
      <c r="I72">
        <v>67</v>
      </c>
      <c r="J72" t="s">
        <v>17</v>
      </c>
      <c r="K72">
        <v>8</v>
      </c>
      <c r="M72" t="s">
        <v>18</v>
      </c>
      <c r="N72" t="s">
        <v>19</v>
      </c>
      <c r="O72">
        <v>0.1</v>
      </c>
      <c r="P72">
        <v>20</v>
      </c>
      <c r="Q72" t="s">
        <v>161</v>
      </c>
      <c r="R72">
        <v>0.03</v>
      </c>
      <c r="S72" t="s">
        <v>21</v>
      </c>
      <c r="T72">
        <v>30</v>
      </c>
      <c r="V72" t="str">
        <f>HYPERLINK("c:\users\omer\rl-qecc-data\reinforcementLearning\2026-08-03_04-31-59_1701069\postProcessing.png","plot")</f>
        <v>plot</v>
      </c>
      <c r="W72" t="str">
        <f>HYPERLINK("c:\users\omer\rl-qecc-data\reinforcementLearning\2026-08-03_04-31-59_1701069\experiment_9_6_seed_67","experiment.txt")</f>
        <v>experiment.txt</v>
      </c>
    </row>
    <row r="73" spans="6:23" x14ac:dyDescent="0.3">
      <c r="F73" t="s">
        <v>340</v>
      </c>
      <c r="G73" t="s">
        <v>172</v>
      </c>
      <c r="H73" t="s">
        <v>173</v>
      </c>
      <c r="I73">
        <v>90210</v>
      </c>
      <c r="J73" t="s">
        <v>17</v>
      </c>
      <c r="K73">
        <v>8</v>
      </c>
      <c r="M73" t="s">
        <v>18</v>
      </c>
      <c r="N73" t="s">
        <v>19</v>
      </c>
      <c r="O73">
        <v>0.1</v>
      </c>
      <c r="P73">
        <v>20</v>
      </c>
      <c r="Q73" t="s">
        <v>174</v>
      </c>
      <c r="R73">
        <v>0.03</v>
      </c>
      <c r="S73" t="s">
        <v>21</v>
      </c>
      <c r="T73">
        <v>30</v>
      </c>
      <c r="V73" t="str">
        <f>HYPERLINK("c:\users\omer\rl-qecc-data\reinforcementLearning\2026-08-03_04-33-44_1228992\postProcessing.png","plot")</f>
        <v>plot</v>
      </c>
      <c r="W73" t="str">
        <f>HYPERLINK("c:\users\omer\rl-qecc-data\reinforcementLearning\2026-08-03_04-33-44_1228992\experiment_9_6_seed_90210","experiment.txt")</f>
        <v>experiment.txt</v>
      </c>
    </row>
    <row r="74" spans="6:23" x14ac:dyDescent="0.3">
      <c r="F74" t="s">
        <v>340</v>
      </c>
      <c r="G74" t="s">
        <v>175</v>
      </c>
      <c r="H74" t="s">
        <v>176</v>
      </c>
      <c r="I74">
        <v>466555</v>
      </c>
      <c r="J74" t="s">
        <v>17</v>
      </c>
      <c r="K74">
        <v>8</v>
      </c>
      <c r="M74" t="s">
        <v>18</v>
      </c>
      <c r="N74" t="s">
        <v>19</v>
      </c>
      <c r="O74">
        <v>0.1</v>
      </c>
      <c r="P74">
        <v>20</v>
      </c>
      <c r="Q74" t="s">
        <v>174</v>
      </c>
      <c r="R74">
        <v>0.03</v>
      </c>
      <c r="S74" t="s">
        <v>21</v>
      </c>
      <c r="T74">
        <v>30</v>
      </c>
      <c r="V74" t="str">
        <f>HYPERLINK("c:\users\omer\rl-qecc-data\reinforcementLearning\2026-08-03_04-33-45_1229022\postProcessing.png","plot")</f>
        <v>plot</v>
      </c>
      <c r="W74" t="str">
        <f>HYPERLINK("c:\users\omer\rl-qecc-data\reinforcementLearning\2026-08-03_04-33-45_1229022\experiment_9_6_seed_466555","experiment.txt")</f>
        <v>experiment.txt</v>
      </c>
    </row>
    <row r="75" spans="6:23" x14ac:dyDescent="0.3">
      <c r="F75" t="s">
        <v>340</v>
      </c>
      <c r="G75" t="s">
        <v>177</v>
      </c>
      <c r="H75" t="s">
        <v>178</v>
      </c>
      <c r="I75">
        <v>460101</v>
      </c>
      <c r="J75" t="s">
        <v>17</v>
      </c>
      <c r="K75">
        <v>8</v>
      </c>
      <c r="M75" t="s">
        <v>18</v>
      </c>
      <c r="N75" t="s">
        <v>19</v>
      </c>
      <c r="O75">
        <v>0.1</v>
      </c>
      <c r="P75">
        <v>20</v>
      </c>
      <c r="Q75" t="s">
        <v>174</v>
      </c>
      <c r="R75">
        <v>0.03</v>
      </c>
      <c r="S75" t="s">
        <v>21</v>
      </c>
      <c r="T75">
        <v>30</v>
      </c>
      <c r="V75" t="str">
        <f>HYPERLINK("c:\users\omer\rl-qecc-data\reinforcementLearning\2026-08-03_04-33-48_1229052\postProcessing.png","plot")</f>
        <v>plot</v>
      </c>
      <c r="W75" t="str">
        <f>HYPERLINK("c:\users\omer\rl-qecc-data\reinforcementLearning\2026-08-03_04-33-48_1229052\experiment_9_6_seed_460101","experiment.txt")</f>
        <v>experiment.txt</v>
      </c>
    </row>
    <row r="76" spans="6:23" x14ac:dyDescent="0.3">
      <c r="F76" t="s">
        <v>340</v>
      </c>
      <c r="G76" t="s">
        <v>179</v>
      </c>
      <c r="H76" t="s">
        <v>180</v>
      </c>
      <c r="I76">
        <v>7134066</v>
      </c>
      <c r="J76" t="s">
        <v>17</v>
      </c>
      <c r="K76">
        <v>8</v>
      </c>
      <c r="M76" t="s">
        <v>18</v>
      </c>
      <c r="N76" t="s">
        <v>19</v>
      </c>
      <c r="O76">
        <v>0.1</v>
      </c>
      <c r="P76">
        <v>20</v>
      </c>
      <c r="Q76" t="s">
        <v>174</v>
      </c>
      <c r="R76">
        <v>0.03</v>
      </c>
      <c r="S76" t="s">
        <v>21</v>
      </c>
      <c r="T76">
        <v>30</v>
      </c>
      <c r="V76" t="str">
        <f>HYPERLINK("c:\users\omer\rl-qecc-data\reinforcementLearning\2026-08-03_04-33-53_1229089\postProcessing.png","plot")</f>
        <v>plot</v>
      </c>
      <c r="W76" t="str">
        <f>HYPERLINK("c:\users\omer\rl-qecc-data\reinforcementLearning\2026-08-03_04-33-53_1229089\experiment_9_6_seed_7134066","experiment.txt")</f>
        <v>experiment.txt</v>
      </c>
    </row>
    <row r="77" spans="6:23" x14ac:dyDescent="0.3">
      <c r="F77" t="s">
        <v>340</v>
      </c>
      <c r="G77" t="s">
        <v>181</v>
      </c>
      <c r="H77" t="s">
        <v>182</v>
      </c>
      <c r="I77">
        <v>999</v>
      </c>
      <c r="J77" t="s">
        <v>17</v>
      </c>
      <c r="K77">
        <v>8</v>
      </c>
      <c r="M77" t="s">
        <v>18</v>
      </c>
      <c r="N77" t="s">
        <v>19</v>
      </c>
      <c r="O77">
        <v>0.1</v>
      </c>
      <c r="P77">
        <v>20</v>
      </c>
      <c r="Q77" t="s">
        <v>174</v>
      </c>
      <c r="R77">
        <v>0.03</v>
      </c>
      <c r="S77" t="s">
        <v>21</v>
      </c>
      <c r="T77">
        <v>30</v>
      </c>
      <c r="V77" t="str">
        <f>HYPERLINK("c:\users\omer\rl-qecc-data\reinforcementLearning\2026-08-03_04-33-56_1229157\postProcessing.png","plot")</f>
        <v>plot</v>
      </c>
      <c r="W77" t="str">
        <f>HYPERLINK("c:\users\omer\rl-qecc-data\reinforcementLearning\2026-08-03_04-33-56_1229157\experiment_9_6_seed_999","experiment.txt")</f>
        <v>experiment.txt</v>
      </c>
    </row>
    <row r="78" spans="6:23" x14ac:dyDescent="0.3">
      <c r="F78" t="s">
        <v>340</v>
      </c>
      <c r="G78" t="s">
        <v>183</v>
      </c>
      <c r="H78" t="s">
        <v>184</v>
      </c>
      <c r="I78">
        <v>67</v>
      </c>
      <c r="J78" t="s">
        <v>17</v>
      </c>
      <c r="K78">
        <v>8</v>
      </c>
      <c r="M78" t="s">
        <v>18</v>
      </c>
      <c r="N78" t="s">
        <v>19</v>
      </c>
      <c r="O78">
        <v>0.1</v>
      </c>
      <c r="P78">
        <v>20</v>
      </c>
      <c r="Q78" t="s">
        <v>174</v>
      </c>
      <c r="R78">
        <v>0.03</v>
      </c>
      <c r="S78" t="s">
        <v>21</v>
      </c>
      <c r="T78">
        <v>30</v>
      </c>
      <c r="V78" t="str">
        <f>HYPERLINK("c:\users\omer\rl-qecc-data\reinforcementLearning\2026-08-03_04-33-59_1229210\postProcessing.png","plot")</f>
        <v>plot</v>
      </c>
      <c r="W78" t="str">
        <f>HYPERLINK("c:\users\omer\rl-qecc-data\reinforcementLearning\2026-08-03_04-33-59_1229210\experiment_9_6_seed_67","experiment.txt")</f>
        <v>experiment.txt</v>
      </c>
    </row>
    <row r="79" spans="6:23" x14ac:dyDescent="0.3">
      <c r="F79" t="s">
        <v>340</v>
      </c>
      <c r="G79" t="s">
        <v>185</v>
      </c>
      <c r="H79" t="s">
        <v>186</v>
      </c>
      <c r="I79">
        <v>90210</v>
      </c>
      <c r="J79" t="s">
        <v>17</v>
      </c>
      <c r="K79">
        <v>8</v>
      </c>
      <c r="M79" t="s">
        <v>18</v>
      </c>
      <c r="N79" t="s">
        <v>19</v>
      </c>
      <c r="O79">
        <v>0.1</v>
      </c>
      <c r="P79">
        <v>20</v>
      </c>
      <c r="Q79" t="s">
        <v>187</v>
      </c>
      <c r="R79">
        <v>0.03</v>
      </c>
      <c r="S79" t="s">
        <v>21</v>
      </c>
      <c r="T79">
        <v>30</v>
      </c>
      <c r="V79" t="str">
        <f>HYPERLINK("c:\users\omer\rl-qecc-data\reinforcementLearning\2026-08-03_11-36-46_526674\postProcessing.png","plot")</f>
        <v>plot</v>
      </c>
      <c r="W79" t="str">
        <f>HYPERLINK("c:\users\omer\rl-qecc-data\reinforcementLearning\2026-08-03_11-36-46_526674\experiment_9_6_seed_90210","experiment.txt")</f>
        <v>experiment.txt</v>
      </c>
    </row>
    <row r="80" spans="6:23" x14ac:dyDescent="0.3">
      <c r="F80" t="s">
        <v>340</v>
      </c>
      <c r="G80" t="s">
        <v>188</v>
      </c>
      <c r="H80" t="s">
        <v>189</v>
      </c>
      <c r="I80">
        <v>466555</v>
      </c>
      <c r="J80" t="s">
        <v>17</v>
      </c>
      <c r="K80">
        <v>8</v>
      </c>
      <c r="M80" t="s">
        <v>18</v>
      </c>
      <c r="N80" t="s">
        <v>19</v>
      </c>
      <c r="O80">
        <v>0.1</v>
      </c>
      <c r="P80">
        <v>20</v>
      </c>
      <c r="Q80" t="s">
        <v>187</v>
      </c>
      <c r="R80">
        <v>0.03</v>
      </c>
      <c r="S80" t="s">
        <v>21</v>
      </c>
      <c r="T80">
        <v>30</v>
      </c>
      <c r="V80" t="str">
        <f>HYPERLINK("c:\users\omer\rl-qecc-data\reinforcementLearning\2026-08-03_11-36-46_526701\postProcessing.png","plot")</f>
        <v>plot</v>
      </c>
      <c r="W80" t="str">
        <f>HYPERLINK("c:\users\omer\rl-qecc-data\reinforcementLearning\2026-08-03_11-36-46_526701\experiment_9_6_seed_466555","experiment.txt")</f>
        <v>experiment.txt</v>
      </c>
    </row>
    <row r="81" spans="6:23" x14ac:dyDescent="0.3">
      <c r="F81" t="s">
        <v>340</v>
      </c>
      <c r="G81" t="s">
        <v>190</v>
      </c>
      <c r="H81" t="s">
        <v>191</v>
      </c>
      <c r="I81">
        <v>460101</v>
      </c>
      <c r="J81" t="s">
        <v>17</v>
      </c>
      <c r="K81">
        <v>8</v>
      </c>
      <c r="M81" t="s">
        <v>18</v>
      </c>
      <c r="N81" t="s">
        <v>19</v>
      </c>
      <c r="O81">
        <v>0.1</v>
      </c>
      <c r="P81">
        <v>20</v>
      </c>
      <c r="Q81" t="s">
        <v>187</v>
      </c>
      <c r="R81">
        <v>0.03</v>
      </c>
      <c r="S81" t="s">
        <v>21</v>
      </c>
      <c r="T81">
        <v>30</v>
      </c>
      <c r="V81" t="str">
        <f>HYPERLINK("c:\users\omer\rl-qecc-data\reinforcementLearning\2026-08-03_11-36-46_526729\postProcessing.png","plot")</f>
        <v>plot</v>
      </c>
      <c r="W81" t="str">
        <f>HYPERLINK("c:\users\omer\rl-qecc-data\reinforcementLearning\2026-08-03_11-36-46_526729\experiment_9_6_seed_460101","experiment.txt")</f>
        <v>experiment.txt</v>
      </c>
    </row>
    <row r="82" spans="6:23" x14ac:dyDescent="0.3">
      <c r="F82" t="s">
        <v>340</v>
      </c>
      <c r="G82" t="s">
        <v>192</v>
      </c>
      <c r="H82" t="s">
        <v>193</v>
      </c>
      <c r="I82">
        <v>7134066</v>
      </c>
      <c r="J82" t="s">
        <v>17</v>
      </c>
      <c r="K82">
        <v>8</v>
      </c>
      <c r="M82" t="s">
        <v>18</v>
      </c>
      <c r="N82" t="s">
        <v>19</v>
      </c>
      <c r="O82">
        <v>0.1</v>
      </c>
      <c r="P82">
        <v>20</v>
      </c>
      <c r="Q82" t="s">
        <v>187</v>
      </c>
      <c r="R82">
        <v>0.03</v>
      </c>
      <c r="S82" t="s">
        <v>21</v>
      </c>
      <c r="T82">
        <v>30</v>
      </c>
      <c r="V82" t="str">
        <f>HYPERLINK("c:\users\omer\rl-qecc-data\reinforcementLearning\2026-08-03_11-36-46_526756\postProcessing.png","plot")</f>
        <v>plot</v>
      </c>
      <c r="W82" t="str">
        <f>HYPERLINK("c:\users\omer\rl-qecc-data\reinforcementLearning\2026-08-03_11-36-46_526756\experiment_9_6_seed_7134066","experiment.txt")</f>
        <v>experiment.txt</v>
      </c>
    </row>
    <row r="83" spans="6:23" x14ac:dyDescent="0.3">
      <c r="F83" t="s">
        <v>340</v>
      </c>
      <c r="G83" t="s">
        <v>194</v>
      </c>
      <c r="H83" t="s">
        <v>195</v>
      </c>
      <c r="I83">
        <v>999</v>
      </c>
      <c r="J83" t="s">
        <v>17</v>
      </c>
      <c r="K83">
        <v>8</v>
      </c>
      <c r="M83" t="s">
        <v>18</v>
      </c>
      <c r="N83" t="s">
        <v>19</v>
      </c>
      <c r="O83">
        <v>0.1</v>
      </c>
      <c r="P83">
        <v>20</v>
      </c>
      <c r="Q83" t="s">
        <v>187</v>
      </c>
      <c r="R83">
        <v>0.03</v>
      </c>
      <c r="S83" t="s">
        <v>21</v>
      </c>
      <c r="T83">
        <v>30</v>
      </c>
      <c r="V83" t="str">
        <f>HYPERLINK("c:\users\omer\rl-qecc-data\reinforcementLearning\2026-08-03_11-36-46_526783\postProcessing.png","plot")</f>
        <v>plot</v>
      </c>
      <c r="W83" t="str">
        <f>HYPERLINK("c:\users\omer\rl-qecc-data\reinforcementLearning\2026-08-03_11-36-46_526783\experiment_9_6_seed_999","experiment.txt")</f>
        <v>experiment.txt</v>
      </c>
    </row>
    <row r="84" spans="6:23" x14ac:dyDescent="0.3">
      <c r="F84" t="s">
        <v>340</v>
      </c>
      <c r="G84" t="s">
        <v>196</v>
      </c>
      <c r="H84" t="s">
        <v>197</v>
      </c>
      <c r="I84">
        <v>67</v>
      </c>
      <c r="J84" t="s">
        <v>17</v>
      </c>
      <c r="K84">
        <v>8</v>
      </c>
      <c r="M84" t="s">
        <v>18</v>
      </c>
      <c r="N84" t="s">
        <v>19</v>
      </c>
      <c r="O84">
        <v>0.1</v>
      </c>
      <c r="P84">
        <v>20</v>
      </c>
      <c r="Q84" t="s">
        <v>187</v>
      </c>
      <c r="R84">
        <v>0.03</v>
      </c>
      <c r="S84" t="s">
        <v>21</v>
      </c>
      <c r="T84">
        <v>30</v>
      </c>
      <c r="V84" t="str">
        <f>HYPERLINK("c:\users\omer\rl-qecc-data\reinforcementLearning\2026-08-03_11-36-46_526813\postProcessing.png","plot")</f>
        <v>plot</v>
      </c>
      <c r="W84" t="str">
        <f>HYPERLINK("c:\users\omer\rl-qecc-data\reinforcementLearning\2026-08-03_11-36-46_526813\experiment_9_6_seed_67","experiment.txt")</f>
        <v>experiment.txt</v>
      </c>
    </row>
    <row r="85" spans="6:23" x14ac:dyDescent="0.3">
      <c r="F85" t="s">
        <v>340</v>
      </c>
      <c r="G85" t="s">
        <v>198</v>
      </c>
      <c r="H85" t="s">
        <v>199</v>
      </c>
      <c r="I85">
        <v>90210</v>
      </c>
      <c r="J85" t="s">
        <v>17</v>
      </c>
      <c r="K85">
        <v>8</v>
      </c>
      <c r="M85" t="s">
        <v>18</v>
      </c>
      <c r="N85" t="s">
        <v>19</v>
      </c>
      <c r="O85">
        <v>0.1</v>
      </c>
      <c r="P85">
        <v>20</v>
      </c>
      <c r="Q85" t="s">
        <v>200</v>
      </c>
      <c r="R85">
        <v>0.03</v>
      </c>
      <c r="S85" t="s">
        <v>21</v>
      </c>
      <c r="T85">
        <v>30</v>
      </c>
      <c r="V85" t="str">
        <f>HYPERLINK("c:\users\omer\rl-qecc-data\reinforcementLearning\2026-08-03_19-28-13_225320\postProcessing.png","plot")</f>
        <v>plot</v>
      </c>
      <c r="W85" t="str">
        <f>HYPERLINK("c:\users\omer\rl-qecc-data\reinforcementLearning\2026-08-03_19-28-13_225320\experiment_9_6_seed_90210","experiment.txt")</f>
        <v>experiment.txt</v>
      </c>
    </row>
    <row r="86" spans="6:23" x14ac:dyDescent="0.3">
      <c r="F86" t="s">
        <v>340</v>
      </c>
      <c r="G86" t="s">
        <v>201</v>
      </c>
      <c r="H86" t="s">
        <v>202</v>
      </c>
      <c r="I86">
        <v>460101</v>
      </c>
      <c r="J86" t="s">
        <v>17</v>
      </c>
      <c r="K86">
        <v>8</v>
      </c>
      <c r="M86" t="s">
        <v>18</v>
      </c>
      <c r="N86" t="s">
        <v>19</v>
      </c>
      <c r="O86">
        <v>0.1</v>
      </c>
      <c r="P86">
        <v>20</v>
      </c>
      <c r="Q86" t="s">
        <v>200</v>
      </c>
      <c r="R86">
        <v>0.03</v>
      </c>
      <c r="S86" t="s">
        <v>21</v>
      </c>
      <c r="T86">
        <v>30</v>
      </c>
      <c r="V86" t="str">
        <f>HYPERLINK("c:\users\omer\rl-qecc-data\reinforcementLearning\2026-08-03_19-28-13_225379\postProcessing.png","plot")</f>
        <v>plot</v>
      </c>
      <c r="W86" t="str">
        <f>HYPERLINK("c:\users\omer\rl-qecc-data\reinforcementLearning\2026-08-03_19-28-13_225379\experiment_9_6_seed_460101","experiment.txt")</f>
        <v>experiment.txt</v>
      </c>
    </row>
    <row r="87" spans="6:23" x14ac:dyDescent="0.3">
      <c r="F87" t="s">
        <v>340</v>
      </c>
      <c r="G87" t="s">
        <v>203</v>
      </c>
      <c r="H87" t="s">
        <v>204</v>
      </c>
      <c r="I87">
        <v>7134066</v>
      </c>
      <c r="J87" t="s">
        <v>17</v>
      </c>
      <c r="K87">
        <v>8</v>
      </c>
      <c r="M87" t="s">
        <v>18</v>
      </c>
      <c r="N87" t="s">
        <v>19</v>
      </c>
      <c r="O87">
        <v>0.1</v>
      </c>
      <c r="P87">
        <v>20</v>
      </c>
      <c r="Q87" t="s">
        <v>200</v>
      </c>
      <c r="R87">
        <v>0.03</v>
      </c>
      <c r="S87" t="s">
        <v>21</v>
      </c>
      <c r="T87">
        <v>30</v>
      </c>
      <c r="V87" t="str">
        <f>HYPERLINK("c:\users\omer\rl-qecc-data\reinforcementLearning\2026-08-03_19-28-13_225405\postProcessing.png","plot")</f>
        <v>plot</v>
      </c>
      <c r="W87" t="str">
        <f>HYPERLINK("c:\users\omer\rl-qecc-data\reinforcementLearning\2026-08-03_19-28-13_225405\experiment_9_6_seed_7134066","experiment.txt")</f>
        <v>experiment.txt</v>
      </c>
    </row>
    <row r="88" spans="6:23" x14ac:dyDescent="0.3">
      <c r="F88" t="s">
        <v>340</v>
      </c>
      <c r="G88" t="s">
        <v>205</v>
      </c>
      <c r="H88" t="s">
        <v>206</v>
      </c>
      <c r="I88">
        <v>999</v>
      </c>
      <c r="J88" t="s">
        <v>17</v>
      </c>
      <c r="K88">
        <v>8</v>
      </c>
      <c r="M88" t="s">
        <v>18</v>
      </c>
      <c r="N88" t="s">
        <v>19</v>
      </c>
      <c r="O88">
        <v>0.1</v>
      </c>
      <c r="P88">
        <v>20</v>
      </c>
      <c r="Q88" t="s">
        <v>200</v>
      </c>
      <c r="R88">
        <v>0.03</v>
      </c>
      <c r="S88" t="s">
        <v>21</v>
      </c>
      <c r="T88">
        <v>30</v>
      </c>
      <c r="V88" t="str">
        <f>HYPERLINK("c:\users\omer\rl-qecc-data\reinforcementLearning\2026-08-03_19-28-13_225431\postProcessing.png","plot")</f>
        <v>plot</v>
      </c>
      <c r="W88" t="str">
        <f>HYPERLINK("c:\users\omer\rl-qecc-data\reinforcementLearning\2026-08-03_19-28-13_225431\experiment_9_6_seed_999","experiment.txt")</f>
        <v>experiment.txt</v>
      </c>
    </row>
    <row r="89" spans="6:23" x14ac:dyDescent="0.3">
      <c r="F89" t="s">
        <v>340</v>
      </c>
      <c r="G89" t="s">
        <v>207</v>
      </c>
      <c r="H89" t="s">
        <v>208</v>
      </c>
      <c r="I89">
        <v>90210</v>
      </c>
      <c r="J89" t="s">
        <v>17</v>
      </c>
      <c r="K89">
        <v>8</v>
      </c>
      <c r="M89" t="s">
        <v>18</v>
      </c>
      <c r="N89" t="s">
        <v>19</v>
      </c>
      <c r="O89">
        <v>0.1</v>
      </c>
      <c r="P89">
        <v>20</v>
      </c>
      <c r="Q89" t="s">
        <v>161</v>
      </c>
      <c r="R89">
        <v>0.03</v>
      </c>
      <c r="S89" t="s">
        <v>21</v>
      </c>
      <c r="T89">
        <v>30</v>
      </c>
      <c r="V89" t="str">
        <f>HYPERLINK("c:\users\omer\rl-qecc-data\reinforcementLearning\2026-08-03_19-34-11_1777424\postProcessing.png","plot")</f>
        <v>plot</v>
      </c>
      <c r="W89" t="str">
        <f>HYPERLINK("c:\users\omer\rl-qecc-data\reinforcementLearning\2026-08-03_19-34-11_1777424\experiment_9_6_seed_90210","experiment.txt")</f>
        <v>experiment.txt</v>
      </c>
    </row>
    <row r="90" spans="6:23" x14ac:dyDescent="0.3">
      <c r="F90" t="s">
        <v>340</v>
      </c>
      <c r="G90" t="s">
        <v>209</v>
      </c>
      <c r="H90" t="s">
        <v>210</v>
      </c>
      <c r="I90">
        <v>466555</v>
      </c>
      <c r="J90" t="s">
        <v>17</v>
      </c>
      <c r="K90">
        <v>8</v>
      </c>
      <c r="M90" t="s">
        <v>18</v>
      </c>
      <c r="N90" t="s">
        <v>19</v>
      </c>
      <c r="O90">
        <v>0.1</v>
      </c>
      <c r="P90">
        <v>20</v>
      </c>
      <c r="Q90" t="s">
        <v>161</v>
      </c>
      <c r="R90">
        <v>0.03</v>
      </c>
      <c r="S90" t="s">
        <v>21</v>
      </c>
      <c r="T90">
        <v>30</v>
      </c>
      <c r="V90" t="str">
        <f>HYPERLINK("c:\users\omer\rl-qecc-data\reinforcementLearning\2026-08-03_19-34-11_1777453\postProcessing.png","plot")</f>
        <v>plot</v>
      </c>
      <c r="W90" t="str">
        <f>HYPERLINK("c:\users\omer\rl-qecc-data\reinforcementLearning\2026-08-03_19-34-11_1777453\experiment_9_6_seed_466555","experiment.txt")</f>
        <v>experiment.txt</v>
      </c>
    </row>
    <row r="91" spans="6:23" x14ac:dyDescent="0.3">
      <c r="F91" t="s">
        <v>340</v>
      </c>
      <c r="G91" t="s">
        <v>211</v>
      </c>
      <c r="H91" t="s">
        <v>212</v>
      </c>
      <c r="I91">
        <v>460101</v>
      </c>
      <c r="J91" t="s">
        <v>17</v>
      </c>
      <c r="K91">
        <v>8</v>
      </c>
      <c r="M91" t="s">
        <v>18</v>
      </c>
      <c r="N91" t="s">
        <v>19</v>
      </c>
      <c r="O91">
        <v>0.1</v>
      </c>
      <c r="P91">
        <v>20</v>
      </c>
      <c r="Q91" t="s">
        <v>161</v>
      </c>
      <c r="R91">
        <v>0.03</v>
      </c>
      <c r="S91" t="s">
        <v>21</v>
      </c>
      <c r="T91">
        <v>30</v>
      </c>
      <c r="V91" t="str">
        <f>HYPERLINK("c:\users\omer\rl-qecc-data\reinforcementLearning\2026-08-03_19-34-11_1777491\postProcessing.png","plot")</f>
        <v>plot</v>
      </c>
      <c r="W91" t="str">
        <f>HYPERLINK("c:\users\omer\rl-qecc-data\reinforcementLearning\2026-08-03_19-34-11_1777491\experiment_9_6_seed_460101","experiment.txt")</f>
        <v>experiment.txt</v>
      </c>
    </row>
    <row r="92" spans="6:23" x14ac:dyDescent="0.3">
      <c r="F92" t="s">
        <v>340</v>
      </c>
      <c r="G92" t="s">
        <v>213</v>
      </c>
      <c r="H92" t="s">
        <v>214</v>
      </c>
      <c r="I92">
        <v>7134066</v>
      </c>
      <c r="J92" t="s">
        <v>17</v>
      </c>
      <c r="K92">
        <v>8</v>
      </c>
      <c r="M92" t="s">
        <v>18</v>
      </c>
      <c r="N92" t="s">
        <v>19</v>
      </c>
      <c r="O92">
        <v>0.1</v>
      </c>
      <c r="P92">
        <v>20</v>
      </c>
      <c r="Q92" t="s">
        <v>161</v>
      </c>
      <c r="R92">
        <v>0.03</v>
      </c>
      <c r="S92" t="s">
        <v>21</v>
      </c>
      <c r="T92">
        <v>30</v>
      </c>
      <c r="V92" t="str">
        <f>HYPERLINK("c:\users\omer\rl-qecc-data\reinforcementLearning\2026-08-03_19-34-11_1777526\postProcessing.png","plot")</f>
        <v>plot</v>
      </c>
      <c r="W92" t="str">
        <f>HYPERLINK("c:\users\omer\rl-qecc-data\reinforcementLearning\2026-08-03_19-34-11_1777526\experiment_9_6_seed_7134066","experiment.txt")</f>
        <v>experiment.txt</v>
      </c>
    </row>
    <row r="93" spans="6:23" x14ac:dyDescent="0.3">
      <c r="F93" t="s">
        <v>340</v>
      </c>
      <c r="G93" t="s">
        <v>215</v>
      </c>
      <c r="H93" t="s">
        <v>216</v>
      </c>
      <c r="I93">
        <v>999</v>
      </c>
      <c r="J93" t="s">
        <v>17</v>
      </c>
      <c r="K93">
        <v>8</v>
      </c>
      <c r="M93" t="s">
        <v>18</v>
      </c>
      <c r="N93" t="s">
        <v>19</v>
      </c>
      <c r="O93">
        <v>0.1</v>
      </c>
      <c r="P93">
        <v>20</v>
      </c>
      <c r="Q93" t="s">
        <v>161</v>
      </c>
      <c r="R93">
        <v>0.03</v>
      </c>
      <c r="S93" t="s">
        <v>21</v>
      </c>
      <c r="T93">
        <v>30</v>
      </c>
      <c r="V93" t="str">
        <f>HYPERLINK("c:\users\omer\rl-qecc-data\reinforcementLearning\2026-08-03_19-34-15_1777554\postProcessing.png","plot")</f>
        <v>plot</v>
      </c>
      <c r="W93" t="str">
        <f>HYPERLINK("c:\users\omer\rl-qecc-data\reinforcementLearning\2026-08-03_19-34-15_1777554\experiment_9_6_seed_999","experiment.txt")</f>
        <v>experiment.txt</v>
      </c>
    </row>
    <row r="94" spans="6:23" x14ac:dyDescent="0.3">
      <c r="F94" t="s">
        <v>340</v>
      </c>
      <c r="G94" t="s">
        <v>217</v>
      </c>
      <c r="H94" t="s">
        <v>218</v>
      </c>
      <c r="I94">
        <v>67</v>
      </c>
      <c r="J94" t="s">
        <v>17</v>
      </c>
      <c r="K94">
        <v>8</v>
      </c>
      <c r="M94" t="s">
        <v>18</v>
      </c>
      <c r="N94" t="s">
        <v>19</v>
      </c>
      <c r="O94">
        <v>0.1</v>
      </c>
      <c r="P94">
        <v>20</v>
      </c>
      <c r="Q94" t="s">
        <v>161</v>
      </c>
      <c r="R94">
        <v>0.03</v>
      </c>
      <c r="S94" t="s">
        <v>21</v>
      </c>
      <c r="T94">
        <v>30</v>
      </c>
      <c r="V94" t="str">
        <f>HYPERLINK("c:\users\omer\rl-qecc-data\reinforcementLearning\2026-08-03_19-34-19_1777589\postProcessing.png","plot")</f>
        <v>plot</v>
      </c>
      <c r="W94" t="str">
        <f>HYPERLINK("c:\users\omer\rl-qecc-data\reinforcementLearning\2026-08-03_19-34-19_1777589\experiment_9_6_seed_67","experiment.txt")</f>
        <v>experiment.txt</v>
      </c>
    </row>
    <row r="95" spans="6:23" x14ac:dyDescent="0.3">
      <c r="F95" t="s">
        <v>340</v>
      </c>
      <c r="G95" t="s">
        <v>219</v>
      </c>
      <c r="H95" t="s">
        <v>220</v>
      </c>
      <c r="I95">
        <v>90210</v>
      </c>
      <c r="J95" t="s">
        <v>17</v>
      </c>
      <c r="K95">
        <v>8</v>
      </c>
      <c r="M95" t="s">
        <v>18</v>
      </c>
      <c r="N95" t="s">
        <v>19</v>
      </c>
      <c r="O95">
        <v>0.1</v>
      </c>
      <c r="P95">
        <v>20</v>
      </c>
      <c r="Q95" t="s">
        <v>174</v>
      </c>
      <c r="R95">
        <v>0.03</v>
      </c>
      <c r="S95" t="s">
        <v>21</v>
      </c>
      <c r="T95">
        <v>60</v>
      </c>
      <c r="V95" t="str">
        <f>HYPERLINK("c:\users\omer\rl-qecc-data\reinforcementLearning\2026-08-05_11-56-40_1417601\postProcessing.png","plot")</f>
        <v>plot</v>
      </c>
      <c r="W95" t="str">
        <f>HYPERLINK("c:\users\omer\rl-qecc-data\reinforcementLearning\2026-08-05_11-56-40_1417601\experiment_9_6_seed_90210","experiment.txt")</f>
        <v>experiment.txt</v>
      </c>
    </row>
    <row r="96" spans="6:23" x14ac:dyDescent="0.3">
      <c r="F96" t="s">
        <v>340</v>
      </c>
      <c r="G96" t="s">
        <v>221</v>
      </c>
      <c r="H96" t="s">
        <v>222</v>
      </c>
      <c r="I96">
        <v>466555</v>
      </c>
      <c r="J96" t="s">
        <v>17</v>
      </c>
      <c r="K96">
        <v>8</v>
      </c>
      <c r="M96" t="s">
        <v>18</v>
      </c>
      <c r="N96" t="s">
        <v>19</v>
      </c>
      <c r="O96">
        <v>0.1</v>
      </c>
      <c r="P96">
        <v>20</v>
      </c>
      <c r="Q96" t="s">
        <v>174</v>
      </c>
      <c r="R96">
        <v>0.03</v>
      </c>
      <c r="S96" t="s">
        <v>21</v>
      </c>
      <c r="T96">
        <v>60</v>
      </c>
      <c r="V96" t="str">
        <f>HYPERLINK("c:\users\omer\rl-qecc-data\reinforcementLearning\2026-08-05_11-56-40_1417629\postProcessing.png","plot")</f>
        <v>plot</v>
      </c>
      <c r="W96" t="str">
        <f>HYPERLINK("c:\users\omer\rl-qecc-data\reinforcementLearning\2026-08-05_11-56-40_1417629\experiment_9_6_seed_466555","experiment.txt")</f>
        <v>experiment.txt</v>
      </c>
    </row>
    <row r="97" spans="6:23" x14ac:dyDescent="0.3">
      <c r="F97" t="s">
        <v>340</v>
      </c>
      <c r="G97" t="s">
        <v>223</v>
      </c>
      <c r="H97" t="s">
        <v>224</v>
      </c>
      <c r="I97">
        <v>460101</v>
      </c>
      <c r="J97" t="s">
        <v>17</v>
      </c>
      <c r="K97">
        <v>8</v>
      </c>
      <c r="M97" t="s">
        <v>18</v>
      </c>
      <c r="N97" t="s">
        <v>19</v>
      </c>
      <c r="O97">
        <v>0.1</v>
      </c>
      <c r="P97">
        <v>20</v>
      </c>
      <c r="Q97" t="s">
        <v>174</v>
      </c>
      <c r="R97">
        <v>0.03</v>
      </c>
      <c r="S97" t="s">
        <v>21</v>
      </c>
      <c r="T97">
        <v>60</v>
      </c>
      <c r="V97" t="str">
        <f>HYPERLINK("c:\users\omer\rl-qecc-data\reinforcementLearning\2026-08-05_11-56-40_1417662\postProcessing.png","plot")</f>
        <v>plot</v>
      </c>
      <c r="W97" t="str">
        <f>HYPERLINK("c:\users\omer\rl-qecc-data\reinforcementLearning\2026-08-05_11-56-40_1417662\experiment_9_6_seed_460101","experiment.txt")</f>
        <v>experiment.txt</v>
      </c>
    </row>
    <row r="98" spans="6:23" x14ac:dyDescent="0.3">
      <c r="F98" t="s">
        <v>340</v>
      </c>
      <c r="G98" t="s">
        <v>225</v>
      </c>
      <c r="H98" t="s">
        <v>226</v>
      </c>
      <c r="I98">
        <v>7134066</v>
      </c>
      <c r="J98" t="s">
        <v>17</v>
      </c>
      <c r="K98">
        <v>8</v>
      </c>
      <c r="M98" t="s">
        <v>18</v>
      </c>
      <c r="N98" t="s">
        <v>19</v>
      </c>
      <c r="O98">
        <v>0.1</v>
      </c>
      <c r="P98">
        <v>20</v>
      </c>
      <c r="Q98" t="s">
        <v>174</v>
      </c>
      <c r="R98">
        <v>0.03</v>
      </c>
      <c r="S98" t="s">
        <v>21</v>
      </c>
      <c r="T98">
        <v>60</v>
      </c>
      <c r="V98" t="str">
        <f>HYPERLINK("c:\users\omer\rl-qecc-data\reinforcementLearning\2026-08-05_11-56-42_1417690\postProcessing.png","plot")</f>
        <v>plot</v>
      </c>
      <c r="W98" t="str">
        <f>HYPERLINK("c:\users\omer\rl-qecc-data\reinforcementLearning\2026-08-05_11-56-42_1417690\experiment_9_6_seed_7134066","experiment.txt")</f>
        <v>experiment.txt</v>
      </c>
    </row>
    <row r="99" spans="6:23" x14ac:dyDescent="0.3">
      <c r="F99" t="s">
        <v>340</v>
      </c>
      <c r="G99" t="s">
        <v>227</v>
      </c>
      <c r="H99" t="s">
        <v>228</v>
      </c>
      <c r="I99">
        <v>90210</v>
      </c>
      <c r="J99" t="s">
        <v>17</v>
      </c>
      <c r="K99">
        <v>8</v>
      </c>
      <c r="M99" t="s">
        <v>18</v>
      </c>
      <c r="N99" t="s">
        <v>19</v>
      </c>
      <c r="O99">
        <v>0.1</v>
      </c>
      <c r="P99">
        <v>20</v>
      </c>
      <c r="Q99" t="s">
        <v>161</v>
      </c>
      <c r="R99">
        <v>0.03</v>
      </c>
      <c r="S99" t="s">
        <v>21</v>
      </c>
      <c r="T99">
        <v>60</v>
      </c>
      <c r="V99" t="str">
        <f>HYPERLINK("c:\users\omer\rl-qecc-data\reinforcementLearning\2026-08-05_11-56-42_1924827\postProcessing.png","plot")</f>
        <v>plot</v>
      </c>
      <c r="W99" t="str">
        <f>HYPERLINK("c:\users\omer\rl-qecc-data\reinforcementLearning\2026-08-05_11-56-42_1924827\experiment_9_6_seed_90210","experiment.txt")</f>
        <v>experiment.txt</v>
      </c>
    </row>
    <row r="100" spans="6:23" x14ac:dyDescent="0.3">
      <c r="F100" t="s">
        <v>340</v>
      </c>
      <c r="G100" t="s">
        <v>229</v>
      </c>
      <c r="H100" t="s">
        <v>230</v>
      </c>
      <c r="I100">
        <v>466555</v>
      </c>
      <c r="J100" t="s">
        <v>17</v>
      </c>
      <c r="K100">
        <v>8</v>
      </c>
      <c r="M100" t="s">
        <v>18</v>
      </c>
      <c r="N100" t="s">
        <v>19</v>
      </c>
      <c r="O100">
        <v>0.1</v>
      </c>
      <c r="P100">
        <v>20</v>
      </c>
      <c r="Q100" t="s">
        <v>161</v>
      </c>
      <c r="R100">
        <v>0.03</v>
      </c>
      <c r="S100" t="s">
        <v>21</v>
      </c>
      <c r="T100">
        <v>60</v>
      </c>
      <c r="V100" t="str">
        <f>HYPERLINK("c:\users\omer\rl-qecc-data\reinforcementLearning\2026-08-05_11-56-42_1924859\postProcessing.png","plot")</f>
        <v>plot</v>
      </c>
      <c r="W100" t="str">
        <f>HYPERLINK("c:\users\omer\rl-qecc-data\reinforcementLearning\2026-08-05_11-56-42_1924859\experiment_9_6_seed_466555","experiment.txt")</f>
        <v>experiment.txt</v>
      </c>
    </row>
    <row r="101" spans="6:23" x14ac:dyDescent="0.3">
      <c r="F101" t="s">
        <v>340</v>
      </c>
      <c r="G101" t="s">
        <v>231</v>
      </c>
      <c r="H101" t="s">
        <v>232</v>
      </c>
      <c r="I101">
        <v>460101</v>
      </c>
      <c r="J101" t="s">
        <v>17</v>
      </c>
      <c r="K101">
        <v>8</v>
      </c>
      <c r="M101" t="s">
        <v>18</v>
      </c>
      <c r="N101" t="s">
        <v>19</v>
      </c>
      <c r="O101">
        <v>0.1</v>
      </c>
      <c r="P101">
        <v>20</v>
      </c>
      <c r="Q101" t="s">
        <v>161</v>
      </c>
      <c r="R101">
        <v>0.03</v>
      </c>
      <c r="S101" t="s">
        <v>21</v>
      </c>
      <c r="T101">
        <v>60</v>
      </c>
      <c r="V101" t="str">
        <f>HYPERLINK("c:\users\omer\rl-qecc-data\reinforcementLearning\2026-08-05_11-56-42_1924887\postProcessing.png","plot")</f>
        <v>plot</v>
      </c>
      <c r="W101" t="str">
        <f>HYPERLINK("c:\users\omer\rl-qecc-data\reinforcementLearning\2026-08-05_11-56-42_1924887\experiment_9_6_seed_460101","experiment.txt")</f>
        <v>experiment.txt</v>
      </c>
    </row>
    <row r="102" spans="6:23" x14ac:dyDescent="0.3">
      <c r="F102" t="s">
        <v>340</v>
      </c>
      <c r="G102" t="s">
        <v>233</v>
      </c>
      <c r="H102" t="s">
        <v>234</v>
      </c>
      <c r="I102">
        <v>7134066</v>
      </c>
      <c r="J102" t="s">
        <v>17</v>
      </c>
      <c r="K102">
        <v>8</v>
      </c>
      <c r="M102" t="s">
        <v>18</v>
      </c>
      <c r="N102" t="s">
        <v>19</v>
      </c>
      <c r="O102">
        <v>0.1</v>
      </c>
      <c r="P102">
        <v>20</v>
      </c>
      <c r="Q102" t="s">
        <v>161</v>
      </c>
      <c r="R102">
        <v>0.03</v>
      </c>
      <c r="S102" t="s">
        <v>21</v>
      </c>
      <c r="T102">
        <v>60</v>
      </c>
      <c r="V102" t="str">
        <f>HYPERLINK("c:\users\omer\rl-qecc-data\reinforcementLearning\2026-08-05_11-56-45_1924915\postProcessing.png","plot")</f>
        <v>plot</v>
      </c>
      <c r="W102" t="str">
        <f>HYPERLINK("c:\users\omer\rl-qecc-data\reinforcementLearning\2026-08-05_11-56-45_1924915\experiment_9_6_seed_7134066","experiment.txt")</f>
        <v>experiment.txt</v>
      </c>
    </row>
    <row r="103" spans="6:23" x14ac:dyDescent="0.3">
      <c r="F103" t="s">
        <v>340</v>
      </c>
      <c r="G103" t="s">
        <v>235</v>
      </c>
      <c r="H103" t="s">
        <v>236</v>
      </c>
      <c r="I103">
        <v>999</v>
      </c>
      <c r="J103" t="s">
        <v>17</v>
      </c>
      <c r="K103">
        <v>8</v>
      </c>
      <c r="M103" t="s">
        <v>18</v>
      </c>
      <c r="N103" t="s">
        <v>19</v>
      </c>
      <c r="O103">
        <v>0.1</v>
      </c>
      <c r="P103">
        <v>20</v>
      </c>
      <c r="Q103" t="s">
        <v>174</v>
      </c>
      <c r="R103">
        <v>0.03</v>
      </c>
      <c r="S103" t="s">
        <v>21</v>
      </c>
      <c r="T103">
        <v>60</v>
      </c>
      <c r="V103" t="str">
        <f>HYPERLINK("c:\users\omer\rl-qecc-data\reinforcementLearning\2026-08-05_11-56-46_1417727\postProcessing.png","plot")</f>
        <v>plot</v>
      </c>
      <c r="W103" t="str">
        <f>HYPERLINK("c:\users\omer\rl-qecc-data\reinforcementLearning\2026-08-05_11-56-46_1417727\experiment_9_6_seed_999","experiment.txt")</f>
        <v>experiment.txt</v>
      </c>
    </row>
    <row r="104" spans="6:23" x14ac:dyDescent="0.3">
      <c r="F104" t="s">
        <v>340</v>
      </c>
      <c r="G104" t="s">
        <v>237</v>
      </c>
      <c r="H104" t="s">
        <v>238</v>
      </c>
      <c r="I104">
        <v>999</v>
      </c>
      <c r="J104" t="s">
        <v>17</v>
      </c>
      <c r="K104">
        <v>8</v>
      </c>
      <c r="M104" t="s">
        <v>18</v>
      </c>
      <c r="N104" t="s">
        <v>19</v>
      </c>
      <c r="O104">
        <v>0.1</v>
      </c>
      <c r="P104">
        <v>20</v>
      </c>
      <c r="Q104" t="s">
        <v>161</v>
      </c>
      <c r="R104">
        <v>0.03</v>
      </c>
      <c r="S104" t="s">
        <v>21</v>
      </c>
      <c r="T104">
        <v>60</v>
      </c>
      <c r="V104" t="str">
        <f>HYPERLINK("c:\users\omer\rl-qecc-data\reinforcementLearning\2026-08-05_11-56-51_1924950\postProcessing.png","plot")</f>
        <v>plot</v>
      </c>
      <c r="W104" t="str">
        <f>HYPERLINK("c:\users\omer\rl-qecc-data\reinforcementLearning\2026-08-05_11-56-51_1924950\experiment_9_6_seed_999","experiment.txt")</f>
        <v>experiment.txt</v>
      </c>
    </row>
    <row r="105" spans="6:23" x14ac:dyDescent="0.3">
      <c r="F105" t="s">
        <v>340</v>
      </c>
      <c r="G105" t="s">
        <v>239</v>
      </c>
      <c r="H105" t="s">
        <v>240</v>
      </c>
      <c r="I105">
        <v>67</v>
      </c>
      <c r="J105" t="s">
        <v>17</v>
      </c>
      <c r="K105">
        <v>8</v>
      </c>
      <c r="M105" t="s">
        <v>18</v>
      </c>
      <c r="N105" t="s">
        <v>19</v>
      </c>
      <c r="O105">
        <v>0.1</v>
      </c>
      <c r="P105">
        <v>20</v>
      </c>
      <c r="Q105" t="s">
        <v>174</v>
      </c>
      <c r="R105">
        <v>0.03</v>
      </c>
      <c r="S105" t="s">
        <v>21</v>
      </c>
      <c r="T105">
        <v>60</v>
      </c>
      <c r="V105" t="str">
        <f>HYPERLINK("c:\users\omer\rl-qecc-data\reinforcementLearning\2026-08-05_11-56-52_1417760\postProcessing.png","plot")</f>
        <v>plot</v>
      </c>
      <c r="W105" t="str">
        <f>HYPERLINK("c:\users\omer\rl-qecc-data\reinforcementLearning\2026-08-05_11-56-52_1417760\experiment_9_6_seed_67","experiment.txt")</f>
        <v>experiment.txt</v>
      </c>
    </row>
    <row r="106" spans="6:23" x14ac:dyDescent="0.3">
      <c r="F106" t="s">
        <v>340</v>
      </c>
      <c r="G106" t="s">
        <v>241</v>
      </c>
      <c r="H106" t="s">
        <v>242</v>
      </c>
      <c r="I106">
        <v>67</v>
      </c>
      <c r="J106" t="s">
        <v>17</v>
      </c>
      <c r="K106">
        <v>8</v>
      </c>
      <c r="M106" t="s">
        <v>18</v>
      </c>
      <c r="N106" t="s">
        <v>19</v>
      </c>
      <c r="O106">
        <v>0.1</v>
      </c>
      <c r="P106">
        <v>20</v>
      </c>
      <c r="Q106" t="s">
        <v>161</v>
      </c>
      <c r="R106">
        <v>0.03</v>
      </c>
      <c r="S106" t="s">
        <v>21</v>
      </c>
      <c r="T106">
        <v>60</v>
      </c>
      <c r="V106" t="str">
        <f>HYPERLINK("c:\users\omer\rl-qecc-data\reinforcementLearning\2026-08-05_11-56-54_1925040\postProcessing.png","plot")</f>
        <v>plot</v>
      </c>
      <c r="W106" t="str">
        <f>HYPERLINK("c:\users\omer\rl-qecc-data\reinforcementLearning\2026-08-05_11-56-54_1925040\experiment_9_6_seed_67","experiment.txt")</f>
        <v>experiment.txt</v>
      </c>
    </row>
    <row r="107" spans="6:23" x14ac:dyDescent="0.3">
      <c r="F107" t="s">
        <v>340</v>
      </c>
      <c r="G107" t="s">
        <v>243</v>
      </c>
      <c r="H107" t="s">
        <v>244</v>
      </c>
      <c r="I107">
        <v>90210</v>
      </c>
      <c r="J107" t="s">
        <v>17</v>
      </c>
      <c r="K107">
        <v>8</v>
      </c>
      <c r="M107" t="s">
        <v>18</v>
      </c>
      <c r="N107" t="s">
        <v>19</v>
      </c>
      <c r="O107">
        <v>0.1</v>
      </c>
      <c r="P107">
        <v>20</v>
      </c>
      <c r="Q107" t="s">
        <v>187</v>
      </c>
      <c r="R107">
        <v>0.03</v>
      </c>
      <c r="S107" t="s">
        <v>21</v>
      </c>
      <c r="T107">
        <v>60</v>
      </c>
      <c r="V107" t="str">
        <f>HYPERLINK("c:\users\omer\rl-qecc-data\reinforcementLearning\2026-08-05_11-57-21_692662\postProcessing.png","plot")</f>
        <v>plot</v>
      </c>
      <c r="W107" t="str">
        <f>HYPERLINK("c:\users\omer\rl-qecc-data\reinforcementLearning\2026-08-05_11-57-21_692662\experiment_9_6_seed_90210","experiment.txt")</f>
        <v>experiment.txt</v>
      </c>
    </row>
    <row r="108" spans="6:23" x14ac:dyDescent="0.3">
      <c r="F108" t="s">
        <v>340</v>
      </c>
      <c r="G108" t="s">
        <v>245</v>
      </c>
      <c r="H108" t="s">
        <v>246</v>
      </c>
      <c r="I108">
        <v>466555</v>
      </c>
      <c r="J108" t="s">
        <v>17</v>
      </c>
      <c r="K108">
        <v>8</v>
      </c>
      <c r="M108" t="s">
        <v>18</v>
      </c>
      <c r="N108" t="s">
        <v>19</v>
      </c>
      <c r="O108">
        <v>0.1</v>
      </c>
      <c r="P108">
        <v>20</v>
      </c>
      <c r="Q108" t="s">
        <v>187</v>
      </c>
      <c r="R108">
        <v>0.03</v>
      </c>
      <c r="S108" t="s">
        <v>21</v>
      </c>
      <c r="T108">
        <v>60</v>
      </c>
      <c r="V108" t="str">
        <f>HYPERLINK("c:\users\omer\rl-qecc-data\reinforcementLearning\2026-08-05_11-57-21_692690\postProcessing.png","plot")</f>
        <v>plot</v>
      </c>
      <c r="W108" t="str">
        <f>HYPERLINK("c:\users\omer\rl-qecc-data\reinforcementLearning\2026-08-05_11-57-21_692690\experiment_9_6_seed_466555","experiment.txt")</f>
        <v>experiment.txt</v>
      </c>
    </row>
    <row r="109" spans="6:23" x14ac:dyDescent="0.3">
      <c r="F109" t="s">
        <v>340</v>
      </c>
      <c r="G109" t="s">
        <v>247</v>
      </c>
      <c r="H109" t="s">
        <v>248</v>
      </c>
      <c r="I109">
        <v>460101</v>
      </c>
      <c r="J109" t="s">
        <v>17</v>
      </c>
      <c r="K109">
        <v>8</v>
      </c>
      <c r="M109" t="s">
        <v>18</v>
      </c>
      <c r="N109" t="s">
        <v>19</v>
      </c>
      <c r="O109">
        <v>0.1</v>
      </c>
      <c r="P109">
        <v>20</v>
      </c>
      <c r="Q109" t="s">
        <v>187</v>
      </c>
      <c r="R109">
        <v>0.03</v>
      </c>
      <c r="S109" t="s">
        <v>21</v>
      </c>
      <c r="T109">
        <v>60</v>
      </c>
      <c r="V109" t="str">
        <f>HYPERLINK("c:\users\omer\rl-qecc-data\reinforcementLearning\2026-08-05_11-57-21_692715\postProcessing.png","plot")</f>
        <v>plot</v>
      </c>
      <c r="W109" t="str">
        <f>HYPERLINK("c:\users\omer\rl-qecc-data\reinforcementLearning\2026-08-05_11-57-21_692715\experiment_9_6_seed_460101","experiment.txt")</f>
        <v>experiment.txt</v>
      </c>
    </row>
    <row r="110" spans="6:23" x14ac:dyDescent="0.3">
      <c r="F110" t="s">
        <v>340</v>
      </c>
      <c r="G110" t="s">
        <v>249</v>
      </c>
      <c r="H110" t="s">
        <v>250</v>
      </c>
      <c r="I110">
        <v>7134066</v>
      </c>
      <c r="J110" t="s">
        <v>17</v>
      </c>
      <c r="K110">
        <v>8</v>
      </c>
      <c r="M110" t="s">
        <v>18</v>
      </c>
      <c r="N110" t="s">
        <v>19</v>
      </c>
      <c r="O110">
        <v>0.1</v>
      </c>
      <c r="P110">
        <v>20</v>
      </c>
      <c r="Q110" t="s">
        <v>187</v>
      </c>
      <c r="R110">
        <v>0.03</v>
      </c>
      <c r="S110" t="s">
        <v>21</v>
      </c>
      <c r="T110">
        <v>60</v>
      </c>
      <c r="V110" t="str">
        <f>HYPERLINK("c:\users\omer\rl-qecc-data\reinforcementLearning\2026-08-05_11-57-21_692746\postProcessing.png","plot")</f>
        <v>plot</v>
      </c>
      <c r="W110" t="str">
        <f>HYPERLINK("c:\users\omer\rl-qecc-data\reinforcementLearning\2026-08-05_11-57-21_692746\experiment_9_6_seed_7134066","experiment.txt")</f>
        <v>experiment.txt</v>
      </c>
    </row>
    <row r="111" spans="6:23" x14ac:dyDescent="0.3">
      <c r="F111" t="s">
        <v>340</v>
      </c>
      <c r="G111" t="s">
        <v>251</v>
      </c>
      <c r="H111" t="s">
        <v>252</v>
      </c>
      <c r="I111">
        <v>999</v>
      </c>
      <c r="J111" t="s">
        <v>17</v>
      </c>
      <c r="K111">
        <v>8</v>
      </c>
      <c r="M111" t="s">
        <v>18</v>
      </c>
      <c r="N111" t="s">
        <v>19</v>
      </c>
      <c r="O111">
        <v>0.1</v>
      </c>
      <c r="P111">
        <v>20</v>
      </c>
      <c r="Q111" t="s">
        <v>187</v>
      </c>
      <c r="R111">
        <v>0.03</v>
      </c>
      <c r="S111" t="s">
        <v>21</v>
      </c>
      <c r="T111">
        <v>60</v>
      </c>
      <c r="V111" t="str">
        <f>HYPERLINK("c:\users\omer\rl-qecc-data\reinforcementLearning\2026-08-05_11-57-21_692774\postProcessing.png","plot")</f>
        <v>plot</v>
      </c>
      <c r="W111" t="str">
        <f>HYPERLINK("c:\users\omer\rl-qecc-data\reinforcementLearning\2026-08-05_11-57-21_692774\experiment_9_6_seed_999","experiment.txt")</f>
        <v>experiment.txt</v>
      </c>
    </row>
    <row r="112" spans="6:23" x14ac:dyDescent="0.3">
      <c r="F112" t="s">
        <v>340</v>
      </c>
      <c r="G112" t="s">
        <v>253</v>
      </c>
      <c r="H112" t="s">
        <v>254</v>
      </c>
      <c r="I112">
        <v>67</v>
      </c>
      <c r="J112" t="s">
        <v>17</v>
      </c>
      <c r="K112">
        <v>8</v>
      </c>
      <c r="M112" t="s">
        <v>18</v>
      </c>
      <c r="N112" t="s">
        <v>19</v>
      </c>
      <c r="O112">
        <v>0.1</v>
      </c>
      <c r="P112">
        <v>20</v>
      </c>
      <c r="Q112" t="s">
        <v>187</v>
      </c>
      <c r="R112">
        <v>0.03</v>
      </c>
      <c r="S112" t="s">
        <v>21</v>
      </c>
      <c r="T112">
        <v>60</v>
      </c>
      <c r="V112" t="str">
        <f>HYPERLINK("c:\users\omer\rl-qecc-data\reinforcementLearning\2026-08-05_11-57-21_692801\postProcessing.png","plot")</f>
        <v>plot</v>
      </c>
      <c r="W112" t="str">
        <f>HYPERLINK("c:\users\omer\rl-qecc-data\reinforcementLearning\2026-08-05_11-57-21_692801\experiment_9_6_seed_67","experiment.txt")</f>
        <v>experiment.txt</v>
      </c>
    </row>
    <row r="113" spans="6:23" x14ac:dyDescent="0.3">
      <c r="F113" t="s">
        <v>340</v>
      </c>
      <c r="G113" t="s">
        <v>255</v>
      </c>
      <c r="H113" t="s">
        <v>256</v>
      </c>
      <c r="I113">
        <v>7134066</v>
      </c>
      <c r="J113" t="s">
        <v>17</v>
      </c>
      <c r="K113">
        <v>8</v>
      </c>
      <c r="M113" t="s">
        <v>18</v>
      </c>
      <c r="N113" t="s">
        <v>19</v>
      </c>
      <c r="O113">
        <v>0.1</v>
      </c>
      <c r="P113">
        <v>50</v>
      </c>
      <c r="Q113" t="s">
        <v>174</v>
      </c>
      <c r="R113">
        <v>0.03</v>
      </c>
      <c r="S113" t="s">
        <v>21</v>
      </c>
      <c r="T113">
        <v>60</v>
      </c>
      <c r="V113" t="str">
        <f>HYPERLINK("c:\users\omer\rl-qecc-data\reinforcementLearning\2026-08-05_16-46-23_3905732\postProcessing.png","plot")</f>
        <v>plot</v>
      </c>
      <c r="W113" t="str">
        <f>HYPERLINK("c:\users\omer\rl-qecc-data\reinforcementLearning\2026-08-05_16-46-23_3905732\experiment_9_6_seed_7134066_unfreeze_at_50","experiment.txt")</f>
        <v>experiment.txt</v>
      </c>
    </row>
    <row r="114" spans="6:23" x14ac:dyDescent="0.3">
      <c r="F114" t="s">
        <v>340</v>
      </c>
      <c r="G114" t="s">
        <v>257</v>
      </c>
      <c r="H114" t="s">
        <v>258</v>
      </c>
      <c r="I114">
        <v>7134066</v>
      </c>
      <c r="J114" t="s">
        <v>17</v>
      </c>
      <c r="K114">
        <v>8</v>
      </c>
      <c r="M114" t="s">
        <v>18</v>
      </c>
      <c r="N114" t="s">
        <v>19</v>
      </c>
      <c r="O114">
        <v>0.1</v>
      </c>
      <c r="P114">
        <v>100</v>
      </c>
      <c r="Q114" t="s">
        <v>174</v>
      </c>
      <c r="R114">
        <v>0.03</v>
      </c>
      <c r="S114" t="s">
        <v>21</v>
      </c>
      <c r="T114">
        <v>60</v>
      </c>
      <c r="V114" t="str">
        <f>HYPERLINK("c:\users\omer\rl-qecc-data\reinforcementLearning\2026-08-05_16-47-28_3955272\postProcessing.png","plot")</f>
        <v>plot</v>
      </c>
      <c r="W114" t="str">
        <f>HYPERLINK("c:\users\omer\rl-qecc-data\reinforcementLearning\2026-08-05_16-47-28_3955272\experiment_9_6_seed_7134066_unfreeze_at_100","experiment.txt")</f>
        <v>experiment.txt</v>
      </c>
    </row>
    <row r="115" spans="6:23" x14ac:dyDescent="0.3">
      <c r="F115" t="s">
        <v>340</v>
      </c>
      <c r="G115" t="s">
        <v>259</v>
      </c>
      <c r="H115" t="s">
        <v>260</v>
      </c>
      <c r="I115">
        <v>7134066</v>
      </c>
      <c r="J115" t="s">
        <v>17</v>
      </c>
      <c r="K115">
        <v>8</v>
      </c>
      <c r="M115" t="s">
        <v>18</v>
      </c>
      <c r="N115" t="s">
        <v>19</v>
      </c>
      <c r="O115">
        <v>0.1</v>
      </c>
      <c r="P115">
        <v>200</v>
      </c>
      <c r="Q115" t="s">
        <v>174</v>
      </c>
      <c r="R115">
        <v>0.03</v>
      </c>
      <c r="S115" t="s">
        <v>21</v>
      </c>
      <c r="T115">
        <v>60</v>
      </c>
      <c r="V115" t="str">
        <f>HYPERLINK("c:\users\omer\rl-qecc-data\reinforcementLearning\2026-08-05_16-48-52_4003461\postProcessing.png","plot")</f>
        <v>plot</v>
      </c>
      <c r="W115" t="str">
        <f>HYPERLINK("c:\users\omer\rl-qecc-data\reinforcementLearning\2026-08-05_16-48-52_4003461\experiment_9_6_seed_7134066_unfreeze_at_200","experiment.txt")</f>
        <v>experiment.txt</v>
      </c>
    </row>
    <row r="116" spans="6:23" x14ac:dyDescent="0.3">
      <c r="F116" t="s">
        <v>340</v>
      </c>
      <c r="G116" t="s">
        <v>261</v>
      </c>
      <c r="H116" t="s">
        <v>262</v>
      </c>
      <c r="I116">
        <v>90210</v>
      </c>
      <c r="J116" t="s">
        <v>17</v>
      </c>
      <c r="K116">
        <v>8</v>
      </c>
      <c r="M116" t="s">
        <v>18</v>
      </c>
      <c r="N116" t="s">
        <v>19</v>
      </c>
      <c r="O116">
        <v>0.1</v>
      </c>
      <c r="P116">
        <v>20</v>
      </c>
      <c r="Q116" t="s">
        <v>200</v>
      </c>
      <c r="R116">
        <v>0.03</v>
      </c>
      <c r="S116" t="s">
        <v>21</v>
      </c>
      <c r="T116">
        <v>60</v>
      </c>
      <c r="V116" t="str">
        <f>HYPERLINK("c:\users\omer\rl-qecc-data\reinforcementLearning\2026-08-06_03-02-16_2002194\postProcessing.png","plot")</f>
        <v>plot</v>
      </c>
      <c r="W116" t="str">
        <f>HYPERLINK("c:\users\omer\rl-qecc-data\reinforcementLearning\2026-08-06_03-02-16_2002194\experiment_9_6_seed_90210","experiment.txt")</f>
        <v>experiment.txt</v>
      </c>
    </row>
    <row r="117" spans="6:23" x14ac:dyDescent="0.3">
      <c r="F117" t="s">
        <v>340</v>
      </c>
      <c r="G117" t="s">
        <v>263</v>
      </c>
      <c r="H117" t="s">
        <v>264</v>
      </c>
      <c r="I117">
        <v>466555</v>
      </c>
      <c r="J117" t="s">
        <v>17</v>
      </c>
      <c r="K117">
        <v>8</v>
      </c>
      <c r="M117" t="s">
        <v>18</v>
      </c>
      <c r="N117" t="s">
        <v>19</v>
      </c>
      <c r="O117">
        <v>0.1</v>
      </c>
      <c r="P117">
        <v>20</v>
      </c>
      <c r="Q117" t="s">
        <v>200</v>
      </c>
      <c r="R117">
        <v>0.03</v>
      </c>
      <c r="S117" t="s">
        <v>21</v>
      </c>
      <c r="T117">
        <v>60</v>
      </c>
      <c r="V117" t="str">
        <f>HYPERLINK("c:\users\omer\rl-qecc-data\reinforcementLearning\2026-08-06_03-02-16_2002221\postProcessing.png","plot")</f>
        <v>plot</v>
      </c>
      <c r="W117" t="str">
        <f>HYPERLINK("c:\users\omer\rl-qecc-data\reinforcementLearning\2026-08-06_03-02-16_2002221\experiment_9_6_seed_466555","experiment.txt")</f>
        <v>experiment.txt</v>
      </c>
    </row>
    <row r="118" spans="6:23" x14ac:dyDescent="0.3">
      <c r="F118" t="s">
        <v>340</v>
      </c>
      <c r="G118" t="s">
        <v>265</v>
      </c>
      <c r="H118" t="s">
        <v>266</v>
      </c>
      <c r="I118">
        <v>460101</v>
      </c>
      <c r="J118" t="s">
        <v>17</v>
      </c>
      <c r="K118">
        <v>8</v>
      </c>
      <c r="M118" t="s">
        <v>18</v>
      </c>
      <c r="N118" t="s">
        <v>19</v>
      </c>
      <c r="O118">
        <v>0.1</v>
      </c>
      <c r="P118">
        <v>20</v>
      </c>
      <c r="Q118" t="s">
        <v>200</v>
      </c>
      <c r="R118">
        <v>0.03</v>
      </c>
      <c r="S118" t="s">
        <v>21</v>
      </c>
      <c r="T118">
        <v>60</v>
      </c>
      <c r="V118" t="str">
        <f>HYPERLINK("c:\users\omer\rl-qecc-data\reinforcementLearning\2026-08-06_03-02-16_2002254\postProcessing.png","plot")</f>
        <v>plot</v>
      </c>
      <c r="W118" t="str">
        <f>HYPERLINK("c:\users\omer\rl-qecc-data\reinforcementLearning\2026-08-06_03-02-16_2002254\experiment_9_6_seed_460101","experiment.txt")</f>
        <v>experiment.txt</v>
      </c>
    </row>
    <row r="119" spans="6:23" x14ac:dyDescent="0.3">
      <c r="F119" t="s">
        <v>340</v>
      </c>
      <c r="G119" t="s">
        <v>267</v>
      </c>
      <c r="H119" t="s">
        <v>268</v>
      </c>
      <c r="I119">
        <v>7134066</v>
      </c>
      <c r="J119" t="s">
        <v>17</v>
      </c>
      <c r="K119">
        <v>8</v>
      </c>
      <c r="M119" t="s">
        <v>18</v>
      </c>
      <c r="N119" t="s">
        <v>19</v>
      </c>
      <c r="O119">
        <v>0.1</v>
      </c>
      <c r="P119">
        <v>20</v>
      </c>
      <c r="Q119" t="s">
        <v>200</v>
      </c>
      <c r="R119">
        <v>0.03</v>
      </c>
      <c r="S119" t="s">
        <v>21</v>
      </c>
      <c r="T119">
        <v>60</v>
      </c>
      <c r="V119" t="str">
        <f>HYPERLINK("c:\users\omer\rl-qecc-data\reinforcementLearning\2026-08-06_03-02-16_2002285\postProcessing.png","plot")</f>
        <v>plot</v>
      </c>
      <c r="W119" t="str">
        <f>HYPERLINK("c:\users\omer\rl-qecc-data\reinforcementLearning\2026-08-06_03-02-16_2002285\experiment_9_6_seed_7134066","experiment.txt")</f>
        <v>experiment.txt</v>
      </c>
    </row>
    <row r="120" spans="6:23" x14ac:dyDescent="0.3">
      <c r="F120" t="s">
        <v>340</v>
      </c>
      <c r="G120" t="s">
        <v>269</v>
      </c>
      <c r="H120" t="s">
        <v>270</v>
      </c>
      <c r="I120">
        <v>999</v>
      </c>
      <c r="J120" t="s">
        <v>17</v>
      </c>
      <c r="K120">
        <v>8</v>
      </c>
      <c r="M120" t="s">
        <v>18</v>
      </c>
      <c r="N120" t="s">
        <v>19</v>
      </c>
      <c r="O120">
        <v>0.1</v>
      </c>
      <c r="P120">
        <v>20</v>
      </c>
      <c r="Q120" t="s">
        <v>200</v>
      </c>
      <c r="R120">
        <v>0.03</v>
      </c>
      <c r="S120" t="s">
        <v>21</v>
      </c>
      <c r="T120">
        <v>60</v>
      </c>
      <c r="V120" t="str">
        <f>HYPERLINK("c:\users\omer\rl-qecc-data\reinforcementLearning\2026-08-06_03-02-17_2002313\postProcessing.png","plot")</f>
        <v>plot</v>
      </c>
      <c r="W120" t="str">
        <f>HYPERLINK("c:\users\omer\rl-qecc-data\reinforcementLearning\2026-08-06_03-02-17_2002313\experiment_9_6_seed_999","experiment.txt")</f>
        <v>experiment.txt</v>
      </c>
    </row>
    <row r="121" spans="6:23" x14ac:dyDescent="0.3">
      <c r="F121" t="s">
        <v>340</v>
      </c>
      <c r="G121" t="s">
        <v>271</v>
      </c>
      <c r="H121" t="s">
        <v>272</v>
      </c>
      <c r="I121">
        <v>67</v>
      </c>
      <c r="J121" t="s">
        <v>17</v>
      </c>
      <c r="K121">
        <v>8</v>
      </c>
      <c r="M121" t="s">
        <v>18</v>
      </c>
      <c r="N121" t="s">
        <v>19</v>
      </c>
      <c r="O121">
        <v>0.1</v>
      </c>
      <c r="P121">
        <v>20</v>
      </c>
      <c r="Q121" t="s">
        <v>200</v>
      </c>
      <c r="R121">
        <v>0.03</v>
      </c>
      <c r="S121" t="s">
        <v>21</v>
      </c>
      <c r="T121">
        <v>60</v>
      </c>
      <c r="V121" t="str">
        <f>HYPERLINK("c:\users\omer\rl-qecc-data\reinforcementLearning\2026-08-06_03-02-21_2002340\postProcessing.png","plot")</f>
        <v>plot</v>
      </c>
      <c r="W121" t="str">
        <f>HYPERLINK("c:\users\omer\rl-qecc-data\reinforcementLearning\2026-08-06_03-02-21_2002340\experiment_9_6_seed_67","experiment.txt")</f>
        <v>experiment.txt</v>
      </c>
    </row>
    <row r="122" spans="6:23" x14ac:dyDescent="0.3">
      <c r="F122" t="s">
        <v>340</v>
      </c>
      <c r="G122" t="s">
        <v>273</v>
      </c>
      <c r="H122" t="s">
        <v>274</v>
      </c>
      <c r="I122">
        <v>90210</v>
      </c>
      <c r="J122" t="s">
        <v>17</v>
      </c>
      <c r="K122">
        <v>8</v>
      </c>
      <c r="M122" t="s">
        <v>18</v>
      </c>
      <c r="N122" t="s">
        <v>19</v>
      </c>
      <c r="O122">
        <v>0.1</v>
      </c>
      <c r="P122">
        <v>20</v>
      </c>
      <c r="Q122" t="s">
        <v>161</v>
      </c>
      <c r="R122">
        <v>0.03</v>
      </c>
      <c r="S122" t="s">
        <v>21</v>
      </c>
      <c r="T122">
        <v>60</v>
      </c>
      <c r="V122" t="str">
        <f>HYPERLINK("c:\users\omer\rl-qecc-data\reinforcementLearning\2026-08-06_03-20-52_1495640\postProcessing.png","plot")</f>
        <v>plot</v>
      </c>
      <c r="W122" t="str">
        <f>HYPERLINK("c:\users\omer\rl-qecc-data\reinforcementLearning\2026-08-06_03-20-52_1495640\experiment_9_6_seed_90210","experiment.txt")</f>
        <v>experiment.txt</v>
      </c>
    </row>
    <row r="123" spans="6:23" x14ac:dyDescent="0.3">
      <c r="F123" t="s">
        <v>340</v>
      </c>
      <c r="G123" t="s">
        <v>275</v>
      </c>
      <c r="H123" t="s">
        <v>276</v>
      </c>
      <c r="I123">
        <v>466555</v>
      </c>
      <c r="J123" t="s">
        <v>17</v>
      </c>
      <c r="K123">
        <v>8</v>
      </c>
      <c r="M123" t="s">
        <v>18</v>
      </c>
      <c r="N123" t="s">
        <v>19</v>
      </c>
      <c r="O123">
        <v>0.1</v>
      </c>
      <c r="P123">
        <v>20</v>
      </c>
      <c r="Q123" t="s">
        <v>161</v>
      </c>
      <c r="R123">
        <v>0.03</v>
      </c>
      <c r="S123" t="s">
        <v>21</v>
      </c>
      <c r="T123">
        <v>60</v>
      </c>
      <c r="V123" t="str">
        <f>HYPERLINK("c:\users\omer\rl-qecc-data\reinforcementLearning\2026-08-06_03-20-53_1495667\postProcessing.png","plot")</f>
        <v>plot</v>
      </c>
      <c r="W123" t="str">
        <f>HYPERLINK("c:\users\omer\rl-qecc-data\reinforcementLearning\2026-08-06_03-20-53_1495667\experiment_9_6_seed_466555","experiment.txt")</f>
        <v>experiment.txt</v>
      </c>
    </row>
    <row r="124" spans="6:23" x14ac:dyDescent="0.3">
      <c r="F124" t="s">
        <v>340</v>
      </c>
      <c r="G124" t="s">
        <v>277</v>
      </c>
      <c r="H124" t="s">
        <v>278</v>
      </c>
      <c r="I124">
        <v>460101</v>
      </c>
      <c r="J124" t="s">
        <v>17</v>
      </c>
      <c r="K124">
        <v>8</v>
      </c>
      <c r="M124" t="s">
        <v>18</v>
      </c>
      <c r="N124" t="s">
        <v>19</v>
      </c>
      <c r="O124">
        <v>0.1</v>
      </c>
      <c r="P124">
        <v>20</v>
      </c>
      <c r="Q124" t="s">
        <v>161</v>
      </c>
      <c r="R124">
        <v>0.03</v>
      </c>
      <c r="S124" t="s">
        <v>21</v>
      </c>
      <c r="T124">
        <v>60</v>
      </c>
      <c r="V124" t="str">
        <f>HYPERLINK("c:\users\omer\rl-qecc-data\reinforcementLearning\2026-08-06_03-20-56_1495696\postProcessing.png","plot")</f>
        <v>plot</v>
      </c>
      <c r="W124" t="str">
        <f>HYPERLINK("c:\users\omer\rl-qecc-data\reinforcementLearning\2026-08-06_03-20-56_1495696\experiment_9_6_seed_460101","experiment.txt")</f>
        <v>experiment.txt</v>
      </c>
    </row>
    <row r="125" spans="6:23" x14ac:dyDescent="0.3">
      <c r="F125" t="s">
        <v>340</v>
      </c>
      <c r="G125" t="s">
        <v>279</v>
      </c>
      <c r="H125" t="s">
        <v>280</v>
      </c>
      <c r="I125">
        <v>7134066</v>
      </c>
      <c r="J125" t="s">
        <v>17</v>
      </c>
      <c r="K125">
        <v>8</v>
      </c>
      <c r="M125" t="s">
        <v>18</v>
      </c>
      <c r="N125" t="s">
        <v>19</v>
      </c>
      <c r="O125">
        <v>0.1</v>
      </c>
      <c r="P125">
        <v>20</v>
      </c>
      <c r="Q125" t="s">
        <v>161</v>
      </c>
      <c r="R125">
        <v>0.03</v>
      </c>
      <c r="S125" t="s">
        <v>21</v>
      </c>
      <c r="T125">
        <v>60</v>
      </c>
      <c r="V125" t="str">
        <f>HYPERLINK("c:\users\omer\rl-qecc-data\reinforcementLearning\2026-08-06_03-21-00_1495728\postProcessing.png","plot")</f>
        <v>plot</v>
      </c>
      <c r="W125" t="str">
        <f>HYPERLINK("c:\users\omer\rl-qecc-data\reinforcementLearning\2026-08-06_03-21-00_1495728\experiment_9_6_seed_7134066","experiment.txt")</f>
        <v>experiment.txt</v>
      </c>
    </row>
    <row r="126" spans="6:23" x14ac:dyDescent="0.3">
      <c r="F126" t="s">
        <v>340</v>
      </c>
      <c r="G126" t="s">
        <v>281</v>
      </c>
      <c r="H126" t="s">
        <v>282</v>
      </c>
      <c r="I126">
        <v>999</v>
      </c>
      <c r="J126" t="s">
        <v>17</v>
      </c>
      <c r="K126">
        <v>8</v>
      </c>
      <c r="M126" t="s">
        <v>18</v>
      </c>
      <c r="N126" t="s">
        <v>19</v>
      </c>
      <c r="O126">
        <v>0.1</v>
      </c>
      <c r="P126">
        <v>20</v>
      </c>
      <c r="Q126" t="s">
        <v>161</v>
      </c>
      <c r="R126">
        <v>0.03</v>
      </c>
      <c r="S126" t="s">
        <v>21</v>
      </c>
      <c r="T126">
        <v>60</v>
      </c>
      <c r="V126" t="str">
        <f>HYPERLINK("c:\users\omer\rl-qecc-data\reinforcementLearning\2026-08-06_03-21-04_1495802\postProcessing.png","plot")</f>
        <v>plot</v>
      </c>
      <c r="W126" t="str">
        <f>HYPERLINK("c:\users\omer\rl-qecc-data\reinforcementLearning\2026-08-06_03-21-04_1495802\experiment_9_6_seed_999","experiment.txt")</f>
        <v>experiment.txt</v>
      </c>
    </row>
    <row r="127" spans="6:23" x14ac:dyDescent="0.3">
      <c r="F127" t="s">
        <v>340</v>
      </c>
      <c r="G127" t="s">
        <v>283</v>
      </c>
      <c r="H127" t="s">
        <v>284</v>
      </c>
      <c r="I127">
        <v>67</v>
      </c>
      <c r="J127" t="s">
        <v>17</v>
      </c>
      <c r="K127">
        <v>8</v>
      </c>
      <c r="M127" t="s">
        <v>18</v>
      </c>
      <c r="N127" t="s">
        <v>19</v>
      </c>
      <c r="O127">
        <v>0.1</v>
      </c>
      <c r="P127">
        <v>20</v>
      </c>
      <c r="Q127" t="s">
        <v>161</v>
      </c>
      <c r="R127">
        <v>0.03</v>
      </c>
      <c r="S127" t="s">
        <v>21</v>
      </c>
      <c r="T127">
        <v>60</v>
      </c>
      <c r="V127" t="str">
        <f>HYPERLINK("c:\users\omer\rl-qecc-data\reinforcementLearning\2026-08-06_03-21-07_1495859\postProcessing.png","plot")</f>
        <v>plot</v>
      </c>
      <c r="W127" t="str">
        <f>HYPERLINK("c:\users\omer\rl-qecc-data\reinforcementLearning\2026-08-06_03-21-07_1495859\experiment_9_6_seed_67","experiment.txt")</f>
        <v>experiment.txt</v>
      </c>
    </row>
    <row r="128" spans="6:23" x14ac:dyDescent="0.3">
      <c r="F128" t="s">
        <v>339</v>
      </c>
      <c r="G128" t="s">
        <v>285</v>
      </c>
      <c r="H128" t="s">
        <v>286</v>
      </c>
      <c r="I128">
        <v>3141592</v>
      </c>
      <c r="J128" t="s">
        <v>17</v>
      </c>
      <c r="K128">
        <v>8</v>
      </c>
      <c r="M128" t="s">
        <v>18</v>
      </c>
      <c r="N128" t="s">
        <v>19</v>
      </c>
      <c r="O128">
        <v>0.1</v>
      </c>
      <c r="P128">
        <v>20</v>
      </c>
      <c r="Q128" t="s">
        <v>46</v>
      </c>
      <c r="R128">
        <v>0.03</v>
      </c>
      <c r="S128" t="s">
        <v>21</v>
      </c>
      <c r="T128">
        <v>30</v>
      </c>
      <c r="V128" t="str">
        <f>HYPERLINK("c:\users\omer\rl-qecc-data\reinforcementLearning\2026-07-29_17-22-40_1318253\postProcessing.png","plot")</f>
        <v>plot</v>
      </c>
      <c r="W128" t="str">
        <f>HYPERLINK("c:\users\omer\rl-qecc-data\reinforcementLearning\2026-07-29_17-22-40_1318253\search_9_6_seed_3141592_experiment","experiment.txt")</f>
        <v>experiment.txt</v>
      </c>
    </row>
    <row r="129" spans="6:23" x14ac:dyDescent="0.3">
      <c r="F129" t="s">
        <v>339</v>
      </c>
      <c r="G129" t="s">
        <v>287</v>
      </c>
      <c r="H129" t="s">
        <v>288</v>
      </c>
      <c r="I129">
        <v>2718281</v>
      </c>
      <c r="J129" t="s">
        <v>17</v>
      </c>
      <c r="K129">
        <v>8</v>
      </c>
      <c r="M129" t="s">
        <v>18</v>
      </c>
      <c r="N129" t="s">
        <v>19</v>
      </c>
      <c r="O129">
        <v>0.1</v>
      </c>
      <c r="P129">
        <v>20</v>
      </c>
      <c r="Q129" t="s">
        <v>46</v>
      </c>
      <c r="R129">
        <v>0.03</v>
      </c>
      <c r="S129" t="s">
        <v>21</v>
      </c>
      <c r="T129">
        <v>30</v>
      </c>
      <c r="V129" t="str">
        <f>HYPERLINK("c:\users\omer\rl-qecc-data\reinforcementLearning\2026-07-29_17-22-40_1318281\postProcessing.png","plot")</f>
        <v>plot</v>
      </c>
      <c r="W129" t="str">
        <f>HYPERLINK("c:\users\omer\rl-qecc-data\reinforcementLearning\2026-07-29_17-22-40_1318281\search_9_6_seed_2718281_experiment","experiment.txt")</f>
        <v>experiment.txt</v>
      </c>
    </row>
    <row r="130" spans="6:23" x14ac:dyDescent="0.3">
      <c r="F130" t="s">
        <v>339</v>
      </c>
      <c r="G130" t="s">
        <v>289</v>
      </c>
      <c r="H130" t="s">
        <v>290</v>
      </c>
      <c r="I130">
        <v>1618033</v>
      </c>
      <c r="J130" t="s">
        <v>17</v>
      </c>
      <c r="K130">
        <v>8</v>
      </c>
      <c r="M130" t="s">
        <v>18</v>
      </c>
      <c r="N130" t="s">
        <v>19</v>
      </c>
      <c r="O130">
        <v>0.1</v>
      </c>
      <c r="P130">
        <v>20</v>
      </c>
      <c r="Q130" t="s">
        <v>46</v>
      </c>
      <c r="R130">
        <v>0.03</v>
      </c>
      <c r="S130" t="s">
        <v>21</v>
      </c>
      <c r="T130">
        <v>30</v>
      </c>
      <c r="V130" t="str">
        <f>HYPERLINK("c:\users\omer\rl-qecc-data\reinforcementLearning\2026-07-29_17-22-40_1318308\postProcessing.png","plot")</f>
        <v>plot</v>
      </c>
      <c r="W130" t="str">
        <f>HYPERLINK("c:\users\omer\rl-qecc-data\reinforcementLearning\2026-07-29_17-22-40_1318308\search_9_6_seed_1618033_experiment","experiment.txt")</f>
        <v>experiment.txt</v>
      </c>
    </row>
    <row r="131" spans="6:23" x14ac:dyDescent="0.3">
      <c r="F131" t="s">
        <v>339</v>
      </c>
      <c r="G131" t="s">
        <v>291</v>
      </c>
      <c r="H131" t="s">
        <v>292</v>
      </c>
      <c r="I131">
        <v>1414213</v>
      </c>
      <c r="J131" t="s">
        <v>17</v>
      </c>
      <c r="K131">
        <v>8</v>
      </c>
      <c r="M131" t="s">
        <v>18</v>
      </c>
      <c r="N131" t="s">
        <v>19</v>
      </c>
      <c r="O131">
        <v>0.1</v>
      </c>
      <c r="P131">
        <v>20</v>
      </c>
      <c r="Q131" t="s">
        <v>46</v>
      </c>
      <c r="R131">
        <v>0.03</v>
      </c>
      <c r="S131" t="s">
        <v>21</v>
      </c>
      <c r="T131">
        <v>30</v>
      </c>
      <c r="V131" t="str">
        <f>HYPERLINK("c:\users\omer\rl-qecc-data\reinforcementLearning\2026-07-29_17-22-40_1318336\postProcessing.png","plot")</f>
        <v>plot</v>
      </c>
      <c r="W131" t="str">
        <f>HYPERLINK("c:\users\omer\rl-qecc-data\reinforcementLearning\2026-07-29_17-22-40_1318336\search_9_6_seed_1414213_experiment.txt","experiment.txt")</f>
        <v>experiment.txt</v>
      </c>
    </row>
    <row r="132" spans="6:23" x14ac:dyDescent="0.3">
      <c r="F132" t="s">
        <v>339</v>
      </c>
      <c r="G132" t="s">
        <v>293</v>
      </c>
      <c r="H132" t="s">
        <v>294</v>
      </c>
      <c r="I132">
        <v>1732050</v>
      </c>
      <c r="J132" t="s">
        <v>17</v>
      </c>
      <c r="K132">
        <v>8</v>
      </c>
      <c r="M132" t="s">
        <v>18</v>
      </c>
      <c r="N132" t="s">
        <v>19</v>
      </c>
      <c r="O132">
        <v>0.1</v>
      </c>
      <c r="P132">
        <v>20</v>
      </c>
      <c r="Q132" t="s">
        <v>46</v>
      </c>
      <c r="R132">
        <v>0.03</v>
      </c>
      <c r="S132" t="s">
        <v>21</v>
      </c>
      <c r="T132">
        <v>30</v>
      </c>
      <c r="V132" t="str">
        <f>HYPERLINK("c:\users\omer\rl-qecc-data\reinforcementLearning\2026-07-29_17-22-40_1318363\postProcessing.png","plot")</f>
        <v>plot</v>
      </c>
      <c r="W132" t="str">
        <f>HYPERLINK("c:\users\omer\rl-qecc-data\reinforcementLearning\2026-07-29_17-22-40_1318363\search_9_6_seed_1732050_experiment.txt","experiment.txt")</f>
        <v>experiment.txt</v>
      </c>
    </row>
    <row r="133" spans="6:23" x14ac:dyDescent="0.3">
      <c r="F133" t="s">
        <v>339</v>
      </c>
      <c r="G133" t="s">
        <v>295</v>
      </c>
      <c r="H133" t="s">
        <v>296</v>
      </c>
      <c r="I133">
        <v>2236067</v>
      </c>
      <c r="J133" t="s">
        <v>17</v>
      </c>
      <c r="K133">
        <v>8</v>
      </c>
      <c r="M133" t="s">
        <v>18</v>
      </c>
      <c r="N133" t="s">
        <v>19</v>
      </c>
      <c r="O133">
        <v>0.1</v>
      </c>
      <c r="P133">
        <v>20</v>
      </c>
      <c r="Q133" t="s">
        <v>46</v>
      </c>
      <c r="R133">
        <v>0.03</v>
      </c>
      <c r="S133" t="s">
        <v>21</v>
      </c>
      <c r="T133">
        <v>30</v>
      </c>
      <c r="V133" t="str">
        <f>HYPERLINK("c:\users\omer\rl-qecc-data\reinforcementLearning\2026-07-29_17-22-41_1318390\postProcessing.png","plot")</f>
        <v>plot</v>
      </c>
      <c r="W133" t="str">
        <f>HYPERLINK("c:\users\omer\rl-qecc-data\reinforcementLearning\2026-07-29_17-22-41_1318390\search_9_6_seed_2236067_experiment.txt","experiment.txt")</f>
        <v>experiment.txt</v>
      </c>
    </row>
    <row r="134" spans="6:23" x14ac:dyDescent="0.3">
      <c r="F134" t="s">
        <v>339</v>
      </c>
      <c r="G134" t="s">
        <v>297</v>
      </c>
      <c r="H134" t="s">
        <v>298</v>
      </c>
      <c r="I134">
        <v>2645751</v>
      </c>
      <c r="J134" t="s">
        <v>17</v>
      </c>
      <c r="K134">
        <v>8</v>
      </c>
      <c r="M134" t="s">
        <v>18</v>
      </c>
      <c r="N134" t="s">
        <v>19</v>
      </c>
      <c r="O134">
        <v>0.1</v>
      </c>
      <c r="P134">
        <v>20</v>
      </c>
      <c r="Q134" t="s">
        <v>46</v>
      </c>
      <c r="R134">
        <v>0.03</v>
      </c>
      <c r="S134" t="s">
        <v>21</v>
      </c>
      <c r="T134">
        <v>30</v>
      </c>
      <c r="V134" t="str">
        <f>HYPERLINK("c:\users\omer\rl-qecc-data\reinforcementLearning\2026-07-29_17-22-45_1318420\postProcessing.png","plot")</f>
        <v>plot</v>
      </c>
      <c r="W134" t="str">
        <f>HYPERLINK("c:\users\omer\rl-qecc-data\reinforcementLearning\2026-07-29_17-22-45_1318420\search_9_6_seed_2645751_experiment.txt","experiment.txt")</f>
        <v>experiment.txt</v>
      </c>
    </row>
    <row r="135" spans="6:23" x14ac:dyDescent="0.3">
      <c r="F135" t="s">
        <v>339</v>
      </c>
      <c r="G135" t="s">
        <v>299</v>
      </c>
      <c r="H135" t="s">
        <v>300</v>
      </c>
      <c r="I135">
        <v>3316624</v>
      </c>
      <c r="J135" t="s">
        <v>17</v>
      </c>
      <c r="K135">
        <v>8</v>
      </c>
      <c r="M135" t="s">
        <v>18</v>
      </c>
      <c r="N135" t="s">
        <v>19</v>
      </c>
      <c r="O135">
        <v>0.1</v>
      </c>
      <c r="P135">
        <v>20</v>
      </c>
      <c r="Q135" t="s">
        <v>46</v>
      </c>
      <c r="R135">
        <v>0.03</v>
      </c>
      <c r="S135" t="s">
        <v>21</v>
      </c>
      <c r="T135">
        <v>30</v>
      </c>
      <c r="V135" t="str">
        <f>HYPERLINK("c:\users\omer\rl-qecc-data\reinforcementLearning\2026-07-29_17-22-47_1318448\postProcessing.png","plot")</f>
        <v>plot</v>
      </c>
      <c r="W135" t="str">
        <f>HYPERLINK("c:\users\omer\rl-qecc-data\reinforcementLearning\2026-07-29_17-22-47_1318448\search_9_6_seed_3316624_experiment.txt","experiment.txt")</f>
        <v>experiment.txt</v>
      </c>
    </row>
    <row r="136" spans="6:23" x14ac:dyDescent="0.3">
      <c r="F136" t="s">
        <v>339</v>
      </c>
      <c r="G136" t="s">
        <v>301</v>
      </c>
      <c r="H136" t="s">
        <v>302</v>
      </c>
      <c r="I136">
        <v>1234567</v>
      </c>
      <c r="J136" t="s">
        <v>17</v>
      </c>
      <c r="K136">
        <v>8</v>
      </c>
      <c r="M136" t="s">
        <v>18</v>
      </c>
      <c r="N136" t="s">
        <v>19</v>
      </c>
      <c r="O136">
        <v>0.1</v>
      </c>
      <c r="P136">
        <v>20</v>
      </c>
      <c r="Q136" t="s">
        <v>46</v>
      </c>
      <c r="R136">
        <v>0.03</v>
      </c>
      <c r="S136" t="s">
        <v>21</v>
      </c>
      <c r="T136">
        <v>30</v>
      </c>
      <c r="V136" t="str">
        <f>HYPERLINK("c:\users\omer\rl-qecc-data\reinforcementLearning\2026-07-29_17-22-50_1318475\postProcessing.png","plot")</f>
        <v>plot</v>
      </c>
      <c r="W136" t="str">
        <f>HYPERLINK("c:\users\omer\rl-qecc-data\reinforcementLearning\2026-07-29_17-22-50_1318475\search_9_6_seed_1234567_experiment.txt","experiment.txt")</f>
        <v>experiment.txt</v>
      </c>
    </row>
    <row r="137" spans="6:23" x14ac:dyDescent="0.3">
      <c r="F137" t="s">
        <v>339</v>
      </c>
      <c r="G137" t="s">
        <v>303</v>
      </c>
      <c r="H137" t="s">
        <v>304</v>
      </c>
      <c r="I137">
        <v>7654321</v>
      </c>
      <c r="J137" t="s">
        <v>17</v>
      </c>
      <c r="K137">
        <v>8</v>
      </c>
      <c r="M137" t="s">
        <v>18</v>
      </c>
      <c r="N137" t="s">
        <v>19</v>
      </c>
      <c r="O137">
        <v>0.1</v>
      </c>
      <c r="P137">
        <v>20</v>
      </c>
      <c r="Q137" t="s">
        <v>46</v>
      </c>
      <c r="R137">
        <v>0.03</v>
      </c>
      <c r="S137" t="s">
        <v>21</v>
      </c>
      <c r="T137">
        <v>30</v>
      </c>
      <c r="V137" t="str">
        <f>HYPERLINK("c:\users\omer\rl-qecc-data\reinforcementLearning\2026-07-29_17-22-54_1318502\postProcessing.png","plot")</f>
        <v>plot</v>
      </c>
      <c r="W137" t="str">
        <f>HYPERLINK("c:\users\omer\rl-qecc-data\reinforcementLearning\2026-07-29_17-22-54_1318502\search_9_6_seed_7654321_experiment.txt","experiment.txt")</f>
        <v>experiment.txt</v>
      </c>
    </row>
    <row r="138" spans="6:23" x14ac:dyDescent="0.3">
      <c r="F138" t="s">
        <v>339</v>
      </c>
      <c r="G138" t="s">
        <v>305</v>
      </c>
      <c r="H138" t="s">
        <v>306</v>
      </c>
      <c r="I138">
        <v>9876543</v>
      </c>
      <c r="J138" t="s">
        <v>17</v>
      </c>
      <c r="K138">
        <v>8</v>
      </c>
      <c r="M138" t="s">
        <v>18</v>
      </c>
      <c r="N138" t="s">
        <v>19</v>
      </c>
      <c r="O138">
        <v>0.1</v>
      </c>
      <c r="P138">
        <v>20</v>
      </c>
      <c r="Q138" t="s">
        <v>46</v>
      </c>
      <c r="R138">
        <v>0.03</v>
      </c>
      <c r="S138" t="s">
        <v>21</v>
      </c>
      <c r="T138">
        <v>30</v>
      </c>
      <c r="V138" t="str">
        <f>HYPERLINK("c:\users\omer\rl-qecc-data\reinforcementLearning\2026-07-29_17-22-57_1318528\postProcessing.png","plot")</f>
        <v>plot</v>
      </c>
      <c r="W138" t="str">
        <f>HYPERLINK("c:\users\omer\rl-qecc-data\reinforcementLearning\2026-07-29_17-22-57_1318528\search_9_6_seed_9876543_experiment.txt","experiment.txt")</f>
        <v>experiment.txt</v>
      </c>
    </row>
    <row r="139" spans="6:23" x14ac:dyDescent="0.3">
      <c r="F139" t="s">
        <v>339</v>
      </c>
      <c r="G139" t="s">
        <v>307</v>
      </c>
      <c r="H139" t="s">
        <v>308</v>
      </c>
      <c r="I139">
        <v>1111111</v>
      </c>
      <c r="J139" t="s">
        <v>17</v>
      </c>
      <c r="K139">
        <v>8</v>
      </c>
      <c r="M139" t="s">
        <v>18</v>
      </c>
      <c r="N139" t="s">
        <v>19</v>
      </c>
      <c r="O139">
        <v>0.1</v>
      </c>
      <c r="P139">
        <v>20</v>
      </c>
      <c r="Q139" t="s">
        <v>46</v>
      </c>
      <c r="R139">
        <v>0.03</v>
      </c>
      <c r="S139" t="s">
        <v>21</v>
      </c>
      <c r="T139">
        <v>30</v>
      </c>
      <c r="V139" t="str">
        <f>HYPERLINK("c:\users\omer\rl-qecc-data\reinforcementLearning\2026-07-29_17-22-59_1318554\postProcessing.png","plot")</f>
        <v>plot</v>
      </c>
      <c r="W139" t="str">
        <f>HYPERLINK("c:\users\omer\rl-qecc-data\reinforcementLearning\2026-07-29_17-22-59_1318554\search_9_6_seed_1111111_experiment.txt","experiment.txt")</f>
        <v>experiment.txt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Investigation into encoder arch</vt:lpstr>
      <vt:lpstr>allData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Sella</dc:creator>
  <cp:lastModifiedBy>Omer Sella</cp:lastModifiedBy>
  <dcterms:created xsi:type="dcterms:W3CDTF">2026-07-14T21:04:19Z</dcterms:created>
  <dcterms:modified xsi:type="dcterms:W3CDTF">2026-08-16T11:00:27Z</dcterms:modified>
</cp:coreProperties>
</file>