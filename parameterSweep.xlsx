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0151" yWindow="-118" windowWidth="45269" windowHeight="18380" tabRatio="600" firstSheet="0" activeTab="1" autoFilterDateGrouping="1"/>
  </bookViews>
  <sheets>
    <sheet name="Investigation into encoder arch" sheetId="1" state="visible" r:id="rId1"/>
    <sheet name="all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6"/>
      <scheme val="minor"/>
    </font>
    <font>
      <name val="Aptos"/>
      <family val="2"/>
      <color theme="1"/>
      <sz val="16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2" borderId="4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3" borderId="3" applyAlignment="1" pivotButton="0" quotePrefix="0" xfId="0">
      <alignment vertical="center" wrapText="1"/>
    </xf>
    <xf numFmtId="0" fontId="2" fillId="3" borderId="4" applyAlignment="1" pivotButton="0" quotePrefix="0" xfId="0">
      <alignment vertical="center" wrapText="1"/>
    </xf>
    <xf numFmtId="0" fontId="1" fillId="4" borderId="0" pivotButton="0" quotePrefix="0" xfId="0"/>
    <xf numFmtId="0" fontId="2" fillId="4" borderId="3" applyAlignment="1" pivotButton="0" quotePrefix="0" xfId="0">
      <alignment vertical="center" wrapText="1"/>
    </xf>
    <xf numFmtId="0" fontId="2" fillId="4" borderId="4" applyAlignment="1" pivotButton="0" quotePrefix="0" xfId="0">
      <alignment vertical="center" wrapText="1"/>
    </xf>
    <xf numFmtId="0" fontId="2" fillId="5" borderId="4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W28"/>
  <sheetViews>
    <sheetView topLeftCell="L1" zoomScale="70" zoomScaleNormal="70" workbookViewId="0">
      <selection activeCell="H1" sqref="H1:U1"/>
    </sheetView>
  </sheetViews>
  <sheetFormatPr baseColWidth="8" defaultRowHeight="20.95"/>
  <cols>
    <col width="8.88671875" customWidth="1" style="1" min="1" max="6"/>
    <col width="5.5546875" customWidth="1" style="1" min="7" max="7"/>
    <col width="85.21875" customWidth="1" style="1" min="8" max="8"/>
    <col width="9.88671875" bestFit="1" customWidth="1" style="1" min="9" max="9"/>
    <col width="8.88671875" customWidth="1" style="1" min="10" max="10"/>
    <col width="31.21875" customWidth="1" style="1" min="11" max="11"/>
    <col width="32.44140625" customWidth="1" style="1" min="12" max="12"/>
    <col width="32.77734375" customWidth="1" style="1" min="13" max="15"/>
    <col width="29.6640625" customWidth="1" style="1" min="16" max="16"/>
    <col width="28.77734375" customWidth="1" style="1" min="17" max="17"/>
    <col width="24.77734375" customWidth="1" style="1" min="18" max="18"/>
    <col width="23.109375" customWidth="1" style="1" min="19" max="19"/>
    <col width="27.21875" customWidth="1" style="1" min="20" max="20"/>
    <col width="17.33203125" customWidth="1" style="1" min="21" max="21"/>
    <col width="30.109375" bestFit="1" customWidth="1" style="1" min="22" max="22"/>
    <col width="19.44140625" bestFit="1" customWidth="1" style="1" min="23" max="23"/>
    <col width="8.88671875" customWidth="1" style="1" min="24" max="28"/>
    <col width="8.88671875" customWidth="1" style="1" min="29" max="16384"/>
  </cols>
  <sheetData>
    <row r="1" ht="42.55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 ht="42.55" customHeight="1" thickBot="1">
      <c r="H2" s="9" t="inlineStr">
        <is>
          <t>C:\Users\Omer\rl-qecc-data\2026-07-15_06-24-42</t>
        </is>
      </c>
      <c r="I2" s="8" t="n">
        <v>460101</v>
      </c>
      <c r="J2" s="7" t="inlineStr">
        <is>
          <t>9,6</t>
        </is>
      </c>
      <c r="K2" s="7" t="n">
        <v>8</v>
      </c>
      <c r="L2" s="7" t="n"/>
      <c r="M2" s="7" t="inlineStr">
        <is>
          <t>Hybrid</t>
        </is>
      </c>
      <c r="N2" s="7" t="n"/>
      <c r="O2" s="7" t="n"/>
      <c r="P2" s="7" t="n"/>
      <c r="Q2" s="7" t="inlineStr">
        <is>
          <t>2026-07-12_20-18-32/surrogate_6x6.pth</t>
        </is>
      </c>
      <c r="R2" s="7" t="n">
        <v>0.003</v>
      </c>
      <c r="S2" s="7" t="inlineStr">
        <is>
          <t>Done</t>
        </is>
      </c>
      <c r="T2" s="7" t="inlineStr">
        <is>
          <t>Yes</t>
        </is>
      </c>
    </row>
    <row r="3" ht="42.55" customHeight="1" thickBot="1">
      <c r="H3" s="9" t="inlineStr">
        <is>
          <t>C:\Users\Omer\rl-qecc-data\2026-07-14_22-01-03</t>
        </is>
      </c>
      <c r="I3" s="8" t="n">
        <v>232323</v>
      </c>
      <c r="J3" s="7" t="inlineStr">
        <is>
          <t>9,6</t>
        </is>
      </c>
      <c r="K3" s="7" t="n">
        <v>8</v>
      </c>
      <c r="L3" s="7" t="n"/>
      <c r="M3" s="7" t="inlineStr">
        <is>
          <t>hybrid</t>
        </is>
      </c>
      <c r="N3" s="7" t="n"/>
      <c r="O3" s="7" t="n"/>
      <c r="P3" s="7" t="n"/>
      <c r="Q3" s="7" t="inlineStr">
        <is>
          <t>2026-07-12_20-18-32/surrogate_6x6.pth</t>
        </is>
      </c>
      <c r="R3" s="7" t="n">
        <v>0.003</v>
      </c>
      <c r="S3" s="7" t="inlineStr">
        <is>
          <t>Done</t>
        </is>
      </c>
      <c r="T3" s="7" t="inlineStr">
        <is>
          <t>Yes</t>
        </is>
      </c>
    </row>
    <row r="4" ht="42.55" customHeight="1" thickBot="1">
      <c r="H4" s="9" t="inlineStr">
        <is>
          <t>C:\Users\Omer\rl-qecc-data\2026-07-14_21-58-14</t>
        </is>
      </c>
      <c r="I4" s="8" t="n">
        <v>111</v>
      </c>
      <c r="J4" s="7" t="inlineStr">
        <is>
          <t>9,6</t>
        </is>
      </c>
      <c r="K4" s="7" t="n">
        <v>8</v>
      </c>
      <c r="L4" s="7" t="n"/>
      <c r="M4" s="7" t="inlineStr">
        <is>
          <t>Hybrid</t>
        </is>
      </c>
      <c r="N4" s="7" t="n"/>
      <c r="O4" s="7" t="n"/>
      <c r="P4" s="7" t="n"/>
      <c r="Q4" s="7" t="inlineStr">
        <is>
          <t>2026-07-12_20-18-32/surrogate_6x6.pth</t>
        </is>
      </c>
      <c r="R4" s="7" t="n">
        <v>0.003</v>
      </c>
      <c r="S4" s="7" t="inlineStr">
        <is>
          <t>Done</t>
        </is>
      </c>
      <c r="T4" s="7" t="inlineStr">
        <is>
          <t>Yes</t>
        </is>
      </c>
    </row>
    <row r="5" ht="42.55" customHeight="1" thickBot="1">
      <c r="H5" s="7" t="inlineStr">
        <is>
          <t>C:\Users\Omer\rl-qecc-data\2026-07-14_21-41-33</t>
        </is>
      </c>
      <c r="I5" s="8" t="n">
        <v>2</v>
      </c>
      <c r="J5" s="7" t="inlineStr">
        <is>
          <t>9,6</t>
        </is>
      </c>
      <c r="K5" s="7" t="n">
        <v>8</v>
      </c>
      <c r="L5" s="7" t="n"/>
      <c r="M5" s="7" t="inlineStr">
        <is>
          <t>hybrid</t>
        </is>
      </c>
      <c r="N5" s="7" t="n"/>
      <c r="O5" s="7" t="n"/>
      <c r="P5" s="7" t="n"/>
      <c r="Q5" s="7" t="inlineStr">
        <is>
          <t>2026-07-12_20-18-32/surrogate_6x6.pth</t>
        </is>
      </c>
      <c r="R5" s="7" t="n">
        <v>0.003</v>
      </c>
      <c r="S5" s="7" t="inlineStr">
        <is>
          <t>Done</t>
        </is>
      </c>
      <c r="T5" s="9" t="inlineStr">
        <is>
          <t>Yes</t>
        </is>
      </c>
    </row>
    <row r="6" ht="42.55" customHeight="1" thickBot="1">
      <c r="H6" s="9" t="inlineStr">
        <is>
          <t>C:\Users\Omer\rl-qecc-data\2026-07-14_21-42-45</t>
        </is>
      </c>
      <c r="I6" s="8" t="n">
        <v>90210</v>
      </c>
      <c r="J6" s="7" t="inlineStr">
        <is>
          <t>9,6</t>
        </is>
      </c>
      <c r="K6" s="7" t="n">
        <v>8</v>
      </c>
      <c r="L6" s="7" t="n"/>
      <c r="M6" s="7" t="inlineStr">
        <is>
          <t>Hybrid</t>
        </is>
      </c>
      <c r="N6" s="7" t="n"/>
      <c r="O6" s="7" t="n"/>
      <c r="P6" s="7" t="n"/>
      <c r="Q6" s="7" t="inlineStr">
        <is>
          <t>2026-07-12_20-18-32/surrogate_6x6.pth</t>
        </is>
      </c>
      <c r="R6" s="7" t="n">
        <v>0.003</v>
      </c>
      <c r="S6" s="7" t="inlineStr">
        <is>
          <t>Done</t>
        </is>
      </c>
      <c r="T6" s="7" t="inlineStr">
        <is>
          <t>Yes</t>
        </is>
      </c>
    </row>
    <row r="7" ht="42.55" customHeight="1" thickBot="1">
      <c r="H7" s="9" t="inlineStr">
        <is>
          <t>C:\Users\Omer\rl-qecc-data\2026-07-14_21-42-52</t>
        </is>
      </c>
      <c r="I7" s="8" t="n">
        <v>466555</v>
      </c>
      <c r="J7" s="7" t="inlineStr">
        <is>
          <t>9,6</t>
        </is>
      </c>
      <c r="K7" s="7" t="n">
        <v>8</v>
      </c>
      <c r="L7" s="7" t="n"/>
      <c r="M7" s="7" t="inlineStr">
        <is>
          <t>hybrid</t>
        </is>
      </c>
      <c r="N7" s="7" t="n"/>
      <c r="O7" s="7" t="n"/>
      <c r="P7" s="7" t="n"/>
      <c r="Q7" s="7" t="inlineStr">
        <is>
          <t>2026-07-12_20-18-32/surrogate_6x6.pth</t>
        </is>
      </c>
      <c r="R7" s="7" t="n">
        <v>0.003</v>
      </c>
      <c r="S7" s="7" t="inlineStr">
        <is>
          <t>Done</t>
        </is>
      </c>
      <c r="T7" s="7" t="inlineStr">
        <is>
          <t>Yes</t>
        </is>
      </c>
    </row>
    <row r="8" ht="42.55" customHeight="1" thickBot="1">
      <c r="H8" s="9" t="n"/>
      <c r="I8" s="8" t="n">
        <v>101010</v>
      </c>
      <c r="J8" s="7" t="inlineStr">
        <is>
          <t>9,6</t>
        </is>
      </c>
      <c r="K8" s="7" t="n">
        <v>8</v>
      </c>
      <c r="L8" s="7" t="n"/>
      <c r="M8" s="7" t="inlineStr">
        <is>
          <t>Hybrid</t>
        </is>
      </c>
      <c r="N8" s="7" t="n"/>
      <c r="O8" s="7" t="n"/>
      <c r="P8" s="7" t="n"/>
      <c r="Q8" s="7" t="inlineStr">
        <is>
          <t>2026-07-12_21-15-58/surrogate_6x6.pth</t>
        </is>
      </c>
      <c r="R8" s="7" t="n">
        <v>0.003</v>
      </c>
      <c r="S8" s="7" t="inlineStr">
        <is>
          <t>Done</t>
        </is>
      </c>
      <c r="T8" s="7" t="inlineStr">
        <is>
          <t>Yes</t>
        </is>
      </c>
    </row>
    <row r="9" ht="42.55" customHeight="1" thickBot="1">
      <c r="H9" s="9" t="inlineStr">
        <is>
          <t>C:\Users\Omer\rl-qecc-data\2026-07-14_23-23-00</t>
        </is>
      </c>
      <c r="I9" s="8" t="n">
        <v>123456</v>
      </c>
      <c r="J9" s="7" t="inlineStr">
        <is>
          <t>9,6</t>
        </is>
      </c>
      <c r="K9" s="7" t="n">
        <v>8</v>
      </c>
      <c r="L9" s="7" t="n"/>
      <c r="M9" s="7" t="inlineStr">
        <is>
          <t>hybrid</t>
        </is>
      </c>
      <c r="N9" s="7" t="n"/>
      <c r="O9" s="7" t="n"/>
      <c r="P9" s="7" t="n"/>
      <c r="Q9" s="7" t="inlineStr">
        <is>
          <t>2026-07-12_21-15-58/surrogate_6x6.pth</t>
        </is>
      </c>
      <c r="R9" s="7" t="n">
        <v>0.003</v>
      </c>
      <c r="S9" s="7" t="inlineStr">
        <is>
          <t>Done</t>
        </is>
      </c>
      <c r="T9" s="7" t="inlineStr">
        <is>
          <t>Yes</t>
        </is>
      </c>
    </row>
    <row r="10" ht="42.55" customHeight="1" thickBot="1">
      <c r="H10" s="10" t="inlineStr">
        <is>
          <t>C:\Users\Omer\rl-qecc-data\2026-07-15_13-49-55</t>
        </is>
      </c>
      <c r="I10" s="11" t="n">
        <v>232323</v>
      </c>
      <c r="J10" s="12" t="inlineStr">
        <is>
          <t>9,6</t>
        </is>
      </c>
      <c r="K10" s="12" t="n">
        <v>8</v>
      </c>
      <c r="L10" s="12" t="n"/>
      <c r="M10" s="12" t="inlineStr">
        <is>
          <t>Hybrid</t>
        </is>
      </c>
      <c r="N10" s="12" t="n"/>
      <c r="O10" s="12" t="n"/>
      <c r="P10" s="12" t="n"/>
      <c r="Q10" s="12" t="inlineStr">
        <is>
          <t>2026-07-12_21-15-58/surrogate_6x6.pth</t>
        </is>
      </c>
      <c r="R10" s="12" t="n">
        <v>0.003</v>
      </c>
      <c r="S10" s="12" t="inlineStr">
        <is>
          <t>Done</t>
        </is>
      </c>
      <c r="T10" s="12" t="inlineStr">
        <is>
          <t>Not great</t>
        </is>
      </c>
      <c r="U10" s="1" t="inlineStr">
        <is>
          <t>Flat</t>
        </is>
      </c>
    </row>
    <row r="11" ht="42.55" customHeight="1" thickBot="1">
      <c r="H11" s="9" t="inlineStr">
        <is>
          <t>C:\Users\Omer\rl-qecc-data\2026-07-15_15-19-50_184940</t>
        </is>
      </c>
      <c r="I11" s="8" t="n">
        <v>111</v>
      </c>
      <c r="J11" s="7" t="inlineStr">
        <is>
          <t>9,6</t>
        </is>
      </c>
      <c r="K11" s="7" t="n">
        <v>8</v>
      </c>
      <c r="L11" s="7" t="n"/>
      <c r="M11" s="7" t="inlineStr">
        <is>
          <t>hybrid</t>
        </is>
      </c>
      <c r="N11" s="7" t="n"/>
      <c r="O11" s="7" t="n"/>
      <c r="P11" s="7" t="n">
        <v>10</v>
      </c>
      <c r="Q11" s="7" t="inlineStr">
        <is>
          <t>2026-07-12_21-15-58/surrogate_6x6.pth</t>
        </is>
      </c>
      <c r="R11" s="7" t="n">
        <v>0.003</v>
      </c>
      <c r="S11" s="7" t="n"/>
      <c r="T11" s="7" t="n"/>
    </row>
    <row r="12" ht="42.55" customHeight="1" thickBot="1">
      <c r="H12" s="1" t="inlineStr">
        <is>
          <t>C:\Users\Omer\rl-qecc-data\2026-07-15_15-53-06_3953074</t>
        </is>
      </c>
      <c r="I12" s="5" t="n">
        <v>2</v>
      </c>
      <c r="J12" s="6" t="inlineStr">
        <is>
          <t>9,6</t>
        </is>
      </c>
      <c r="K12" s="6" t="n">
        <v>8</v>
      </c>
      <c r="L12" s="6" t="n"/>
      <c r="M12" s="6" t="inlineStr">
        <is>
          <t>Hybrid</t>
        </is>
      </c>
      <c r="N12" s="6" t="n"/>
      <c r="O12" s="6" t="n"/>
      <c r="P12" s="6" t="n">
        <v>10</v>
      </c>
      <c r="Q12" s="6" t="inlineStr">
        <is>
          <t>2026-07-12_21-15-58/surrogate_6x6.pth</t>
        </is>
      </c>
      <c r="R12" s="6" t="n">
        <v>0.003</v>
      </c>
      <c r="S12" s="6" t="n"/>
      <c r="T12" s="6" t="n"/>
    </row>
    <row r="13" ht="42.55" customHeight="1" thickBot="1">
      <c r="H13" s="9" t="inlineStr">
        <is>
          <t>C:\Users\Omer\rl-qecc-data\2026-07-15_07-12-39</t>
        </is>
      </c>
      <c r="I13" s="8" t="n">
        <v>460101</v>
      </c>
      <c r="J13" s="7" t="inlineStr">
        <is>
          <t>9,6</t>
        </is>
      </c>
      <c r="K13" s="7" t="n">
        <v>8</v>
      </c>
      <c r="L13" s="7" t="n"/>
      <c r="M13" s="7" t="inlineStr">
        <is>
          <t>hybrid</t>
        </is>
      </c>
      <c r="N13" s="7" t="n"/>
      <c r="O13" s="7" t="n"/>
      <c r="P13" s="7" t="n"/>
      <c r="Q13" s="7" t="inlineStr">
        <is>
          <t>2026-07-12_21-15-58/surrogate_6x6.pth</t>
        </is>
      </c>
      <c r="R13" s="7" t="n">
        <v>0.003</v>
      </c>
      <c r="S13" s="7" t="inlineStr">
        <is>
          <t>Done</t>
        </is>
      </c>
      <c r="T13" s="7" t="inlineStr">
        <is>
          <t>Yes</t>
        </is>
      </c>
    </row>
    <row r="14" ht="42.55" customHeight="1" thickBot="1">
      <c r="H14" s="13" t="n"/>
      <c r="I14" s="14" t="n"/>
      <c r="J14" s="15" t="inlineStr">
        <is>
          <t>9,6</t>
        </is>
      </c>
      <c r="K14" s="15" t="n">
        <v>8</v>
      </c>
      <c r="L14" s="15" t="n"/>
      <c r="M14" s="15" t="n"/>
      <c r="N14" s="15" t="n"/>
      <c r="O14" s="15" t="n"/>
      <c r="P14" s="15" t="n">
        <v>50</v>
      </c>
      <c r="Q14" s="15" t="inlineStr">
        <is>
          <t>2026-07-12_21-15-58/surrogate_6x6.pth</t>
        </is>
      </c>
      <c r="R14" s="15" t="n">
        <v>0.003</v>
      </c>
      <c r="S14" s="15" t="n"/>
      <c r="T14" s="15" t="n"/>
    </row>
    <row r="15" ht="42.55" customHeight="1" thickBot="1">
      <c r="H15" s="13" t="n"/>
      <c r="I15" s="14" t="n"/>
      <c r="J15" s="15" t="inlineStr">
        <is>
          <t>9,6</t>
        </is>
      </c>
      <c r="K15" s="15" t="n">
        <v>8</v>
      </c>
      <c r="L15" s="15" t="n"/>
      <c r="M15" s="15" t="n"/>
      <c r="N15" s="15" t="n"/>
      <c r="O15" s="15" t="n"/>
      <c r="P15" s="15" t="n">
        <v>50</v>
      </c>
      <c r="Q15" s="15" t="inlineStr">
        <is>
          <t>2026-07-12_21-15-58/surrogate_6x6.pth</t>
        </is>
      </c>
      <c r="R15" s="15" t="n">
        <v>0.003</v>
      </c>
      <c r="S15" s="15" t="n"/>
      <c r="T15" s="15" t="n"/>
    </row>
    <row r="16" ht="42.55" customHeight="1" thickBot="1">
      <c r="H16" s="13" t="n"/>
      <c r="I16" s="14" t="n">
        <v>232323</v>
      </c>
      <c r="J16" s="15" t="inlineStr">
        <is>
          <t>9,6</t>
        </is>
      </c>
      <c r="K16" s="15" t="n">
        <v>8</v>
      </c>
      <c r="L16" s="15" t="n"/>
      <c r="M16" s="15" t="inlineStr">
        <is>
          <t>hybrid</t>
        </is>
      </c>
      <c r="N16" s="15" t="n"/>
      <c r="O16" s="15" t="n"/>
      <c r="P16" s="15" t="n">
        <v>50</v>
      </c>
      <c r="Q16" s="15" t="inlineStr">
        <is>
          <t>2026-07-12_21-15-58/surrogate_6x6.pth</t>
        </is>
      </c>
      <c r="R16" s="15" t="n">
        <v>0.003</v>
      </c>
      <c r="S16" s="15" t="n"/>
      <c r="T16" s="15" t="n"/>
    </row>
    <row r="17" ht="63.5" customHeight="1" thickBot="1">
      <c r="H17" s="13" t="inlineStr">
        <is>
          <t>C:\Users\Omer\rl-qecc-data\2026-07-15_14-55-03_3158085</t>
        </is>
      </c>
      <c r="I17" s="14" t="n">
        <v>232323</v>
      </c>
      <c r="J17" s="15" t="inlineStr">
        <is>
          <t>9,6</t>
        </is>
      </c>
      <c r="K17" s="15" t="n">
        <v>8</v>
      </c>
      <c r="L17" s="15" t="n"/>
      <c r="M17" s="15" t="inlineStr">
        <is>
          <t>hybrid</t>
        </is>
      </c>
      <c r="N17" s="15" t="n"/>
      <c r="O17" s="15" t="n"/>
      <c r="P17" s="15" t="n">
        <v>20</v>
      </c>
      <c r="Q17" s="16" t="inlineStr">
        <is>
          <t>2026-07-12_10-56-04/surrogate_6x6.pth</t>
        </is>
      </c>
      <c r="R17" s="15" t="n">
        <v>0.003</v>
      </c>
      <c r="S17" s="15" t="inlineStr">
        <is>
          <t>Done</t>
        </is>
      </c>
      <c r="T17" s="15" t="inlineStr">
        <is>
          <t>Yes</t>
        </is>
      </c>
    </row>
    <row r="18" ht="63.5" customHeight="1" thickBot="1">
      <c r="R18" s="15" t="n"/>
      <c r="S18" s="15" t="n"/>
      <c r="T18" s="15" t="n"/>
    </row>
    <row r="19" ht="42.55" customHeight="1" thickBot="1">
      <c r="I19" s="5" t="n">
        <v>2</v>
      </c>
      <c r="J19" s="6" t="inlineStr">
        <is>
          <t>15,3</t>
        </is>
      </c>
      <c r="K19" s="6" t="n">
        <v>10</v>
      </c>
      <c r="L19" s="6" t="n"/>
      <c r="M19" s="6" t="inlineStr">
        <is>
          <t>hybrid</t>
        </is>
      </c>
      <c r="N19" s="6" t="inlineStr">
        <is>
          <t>Yes (pretrained)</t>
        </is>
      </c>
      <c r="O19" s="6" t="n">
        <v>0.1</v>
      </c>
      <c r="P19" s="6" t="n">
        <v>10</v>
      </c>
      <c r="Q19" s="6" t="inlineStr">
        <is>
          <t>2026-07-12_21-15-58/surrogate_6x6.pth</t>
        </is>
      </c>
      <c r="R19" s="6" t="n">
        <v>0.003</v>
      </c>
      <c r="S19" s="6" t="n"/>
      <c r="T19" s="6" t="n"/>
    </row>
    <row r="20" ht="42.55" customHeight="1" thickBot="1">
      <c r="H20" s="1" t="inlineStr">
        <is>
          <t>C:\Users\Omer\rl-qecc-data\2026-07-15_20-20-03_3795808</t>
        </is>
      </c>
      <c r="I20" s="5" t="n">
        <v>232323</v>
      </c>
      <c r="J20" s="6" t="inlineStr">
        <is>
          <t>15,3</t>
        </is>
      </c>
      <c r="K20" s="6" t="n">
        <v>10</v>
      </c>
      <c r="L20" s="6" t="n"/>
      <c r="M20" s="6" t="inlineStr">
        <is>
          <t>hybrid</t>
        </is>
      </c>
      <c r="N20" s="6" t="inlineStr">
        <is>
          <t>No</t>
        </is>
      </c>
      <c r="O20" s="6" t="n">
        <v>1</v>
      </c>
      <c r="P20" s="6" t="n">
        <v>0</v>
      </c>
      <c r="Q20" s="6" t="inlineStr">
        <is>
          <t>2026-07-12_21-15-58/surrogate_6x6.pth</t>
        </is>
      </c>
      <c r="R20" s="6" t="n">
        <v>0.003</v>
      </c>
      <c r="S20" s="6" t="n"/>
      <c r="T20" s="6" t="n"/>
    </row>
    <row r="21" ht="42.55" customHeight="1" thickBot="1">
      <c r="H21" s="1" t="inlineStr">
        <is>
          <t>C:\Users\Omer\rl-qecc-data\2026-07-15_23-52-37_217901</t>
        </is>
      </c>
      <c r="I21" s="5" t="n">
        <v>232323</v>
      </c>
      <c r="J21" s="6" t="inlineStr">
        <is>
          <t>15,3</t>
        </is>
      </c>
      <c r="K21" s="6" t="n">
        <v>10</v>
      </c>
      <c r="L21" s="6" t="n"/>
      <c r="M21" s="6" t="inlineStr">
        <is>
          <t>hybrid</t>
        </is>
      </c>
      <c r="N21" s="6" t="n"/>
      <c r="O21" s="6" t="n">
        <v>0.1</v>
      </c>
      <c r="P21" s="6" t="n">
        <v>10</v>
      </c>
      <c r="Q21" s="6" t="inlineStr">
        <is>
          <t>2026-07-12_21-15-58/surrogate_6x6.pth</t>
        </is>
      </c>
      <c r="R21" s="6" t="n">
        <v>0.003</v>
      </c>
      <c r="S21" s="6" t="n"/>
      <c r="T21" s="6" t="n"/>
    </row>
    <row r="22" ht="42.55" customHeight="1" thickBot="1">
      <c r="I22" s="5" t="n"/>
      <c r="J22" s="6" t="inlineStr">
        <is>
          <t>15,3</t>
        </is>
      </c>
      <c r="K22" s="6" t="n">
        <v>10</v>
      </c>
      <c r="L22" s="6" t="n"/>
      <c r="M22" s="6" t="inlineStr">
        <is>
          <t>hybrid</t>
        </is>
      </c>
      <c r="N22" s="6" t="n"/>
      <c r="O22" s="6" t="n"/>
      <c r="P22" s="6" t="n"/>
      <c r="Q22" s="6" t="inlineStr">
        <is>
          <t>2026-07-12_21-15-58/surrogate_6x6.pth</t>
        </is>
      </c>
      <c r="R22" s="6" t="n">
        <v>0.003</v>
      </c>
      <c r="S22" s="6" t="n"/>
      <c r="T22" s="6" t="n"/>
    </row>
    <row r="23" ht="42.55" customHeight="1" thickBot="1">
      <c r="I23" s="5" t="n"/>
      <c r="J23" s="6" t="inlineStr">
        <is>
          <t>15,3</t>
        </is>
      </c>
      <c r="K23" s="6" t="n">
        <v>10</v>
      </c>
      <c r="L23" s="6" t="n"/>
      <c r="M23" s="6" t="inlineStr">
        <is>
          <t>hybrid</t>
        </is>
      </c>
      <c r="N23" s="6" t="n"/>
      <c r="O23" s="6" t="n"/>
      <c r="P23" s="6" t="n"/>
      <c r="Q23" s="6" t="inlineStr">
        <is>
          <t>2026-07-12_21-15-58/surrogate_6x6.pth</t>
        </is>
      </c>
      <c r="R23" s="6" t="n">
        <v>0.003</v>
      </c>
      <c r="S23" s="6" t="n"/>
      <c r="T23" s="6" t="n"/>
    </row>
    <row r="24" ht="42.55" customHeight="1" thickBot="1">
      <c r="I24" s="5" t="n"/>
      <c r="J24" s="6" t="inlineStr">
        <is>
          <t>15,3</t>
        </is>
      </c>
      <c r="K24" s="6" t="n">
        <v>10</v>
      </c>
      <c r="L24" s="6" t="n"/>
      <c r="M24" s="6" t="inlineStr">
        <is>
          <t>hybrid</t>
        </is>
      </c>
      <c r="N24" s="6" t="n"/>
      <c r="O24" s="6" t="n"/>
      <c r="P24" s="6" t="n"/>
      <c r="Q24" s="6" t="inlineStr">
        <is>
          <t>2026-07-12_21-15-58/surrogate_6x6.pth</t>
        </is>
      </c>
      <c r="R24" s="6" t="n">
        <v>0.003</v>
      </c>
      <c r="S24" s="6" t="n"/>
      <c r="T24" s="6" t="n"/>
    </row>
    <row r="25">
      <c r="I25" s="1" t="n">
        <v>111</v>
      </c>
      <c r="J25" s="1" t="inlineStr">
        <is>
          <t>9,6</t>
        </is>
      </c>
      <c r="K25" s="1" t="n">
        <v>8</v>
      </c>
      <c r="M25" s="1" t="inlineStr">
        <is>
          <t>hybrid</t>
        </is>
      </c>
      <c r="N25" s="1" t="inlineStr">
        <is>
          <t>No</t>
        </is>
      </c>
      <c r="O25" s="1" t="n">
        <v>0.1</v>
      </c>
      <c r="P25" s="1" t="n">
        <v>50</v>
      </c>
    </row>
    <row r="26">
      <c r="I26" s="1" t="n">
        <v>101010</v>
      </c>
      <c r="J26" s="1" t="inlineStr">
        <is>
          <t>9,6</t>
        </is>
      </c>
      <c r="K26" s="1" t="n">
        <v>8</v>
      </c>
      <c r="M26" s="1" t="inlineStr">
        <is>
          <t>hybrid</t>
        </is>
      </c>
      <c r="N26" s="1" t="inlineStr">
        <is>
          <t>No</t>
        </is>
      </c>
      <c r="O26" s="1" t="n">
        <v>0.1</v>
      </c>
      <c r="P26" s="1" t="n">
        <v>50</v>
      </c>
    </row>
    <row r="27">
      <c r="N27" s="1" t="inlineStr">
        <is>
          <t>No</t>
        </is>
      </c>
      <c r="O27" s="1" t="n">
        <v>1</v>
      </c>
      <c r="P27" s="1" t="n">
        <v>0</v>
      </c>
    </row>
    <row r="28">
      <c r="H28" t="inlineStr">
        <is>
          <t>C:\Users\Omer\rl-qecc-data\2026-07-04_21-14-02</t>
        </is>
      </c>
      <c r="I28" t="n">
        <v>7134066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HYPERLINK("C:\Users\Omer\rl-qecc-data\2026-07-04_21-14-02\postProcessing.png","plot")</f>
        <v/>
      </c>
      <c r="W28">
        <f>HYPERLINK("C:\Users\Omer\rl-qecc-data\2026-07-04_21-14-02\experiment.txt","experiment.txt")</f>
        <v/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G1:W47"/>
  <sheetViews>
    <sheetView tabSelected="1" workbookViewId="0">
      <selection activeCell="G2" sqref="G2:W17"/>
    </sheetView>
  </sheetViews>
  <sheetFormatPr baseColWidth="8" defaultRowHeight="15.05"/>
  <cols>
    <col width="65.77734375" bestFit="1" customWidth="1" min="8" max="8"/>
    <col width="13.21875" customWidth="1" min="14" max="14"/>
    <col width="12.88671875" customWidth="1" min="15" max="15"/>
    <col width="14.21875" customWidth="1" min="17" max="17"/>
    <col width="15.88671875" customWidth="1" min="18" max="18"/>
    <col width="15.44140625" customWidth="1" min="19" max="19"/>
    <col width="13.109375" customWidth="1" min="20" max="20"/>
    <col width="14" customWidth="1" min="21" max="21"/>
    <col width="13.5546875" customWidth="1" min="22" max="22"/>
    <col width="13.109375" customWidth="1" min="23" max="23"/>
  </cols>
  <sheetData>
    <row r="1" ht="105.4" customHeight="1" thickBot="1">
      <c r="G1" s="2" t="inlineStr">
        <is>
          <t>relative_path</t>
        </is>
      </c>
      <c r="H1" s="2" t="inlineStr">
        <is>
          <t>Folder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Minimum number of qubits</t>
        </is>
      </c>
      <c r="L1" s="3" t="n"/>
      <c r="M1" s="3" t="inlineStr">
        <is>
          <t>Network Architecture</t>
        </is>
      </c>
      <c r="N1" s="3" t="inlineStr">
        <is>
          <t>Use pretrained emcoder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Status</t>
        </is>
      </c>
      <c r="T1" s="3" t="inlineStr">
        <is>
          <t>eval_rollout_length</t>
        </is>
      </c>
      <c r="U1" s="2" t="n"/>
      <c r="V1" s="2" t="inlineStr">
        <is>
          <t>Plot</t>
        </is>
      </c>
      <c r="W1" s="2" t="inlineStr">
        <is>
          <t>Data</t>
        </is>
      </c>
    </row>
    <row r="2">
      <c r="G2" t="inlineStr">
        <is>
          <t>reinforcementlearning\2026-07-27_21-48-42_1172807</t>
        </is>
      </c>
      <c r="H2" t="inlineStr">
        <is>
          <t>c:/users/omer/rl-qecc-data/reinforcementLearning\2026-07-27_21-48-42_1172807</t>
        </is>
      </c>
      <c r="I2" t="n">
        <v>3141592</v>
      </c>
      <c r="J2" t="inlineStr">
        <is>
          <t>9,6</t>
        </is>
      </c>
      <c r="K2" t="n">
        <v>8</v>
      </c>
      <c r="M2" t="inlineStr">
        <is>
          <t>hybrid</t>
        </is>
      </c>
      <c r="N2" t="inlineStr">
        <is>
          <t>Yes</t>
        </is>
      </c>
      <c r="O2" t="n">
        <v>0.1</v>
      </c>
      <c r="P2" t="n">
        <v>10</v>
      </c>
      <c r="Q2" t="inlineStr">
        <is>
          <t>2026-07-12_20-18-32/surrogate_6x6.pth</t>
        </is>
      </c>
      <c r="R2" t="n">
        <v>0.003</v>
      </c>
      <c r="S2" t="inlineStr">
        <is>
          <t>Done</t>
        </is>
      </c>
      <c r="T2" t="n">
        <v>30</v>
      </c>
      <c r="V2">
        <f>HYPERLINK("c:\users\omer\rl-qecc-data\reinforcementLearning\2026-07-27_21-48-42_1172807\postProcessing.png","plot")</f>
        <v/>
      </c>
      <c r="W2">
        <f>HYPERLINK("c:\users\omer\rl-qecc-data\reinforcementLearning\2026-07-27_21-48-42_1172807\search_9_6_seed_3141592_experiment.txt","experiment.txt")</f>
        <v/>
      </c>
    </row>
    <row r="3">
      <c r="G3" t="inlineStr">
        <is>
          <t>reinforcementlearning\2026-07-27_21-48-42_1172833</t>
        </is>
      </c>
      <c r="H3" t="inlineStr">
        <is>
          <t>c:/users/omer/rl-qecc-data/reinforcementLearning\2026-07-27_21-48-42_1172833</t>
        </is>
      </c>
      <c r="I3" t="n">
        <v>2718281</v>
      </c>
      <c r="J3" t="inlineStr">
        <is>
          <t>9,6</t>
        </is>
      </c>
      <c r="K3" t="n">
        <v>8</v>
      </c>
      <c r="M3" t="inlineStr">
        <is>
          <t>hybrid</t>
        </is>
      </c>
      <c r="N3" t="inlineStr">
        <is>
          <t>Yes</t>
        </is>
      </c>
      <c r="O3" t="n">
        <v>0.1</v>
      </c>
      <c r="P3" t="n">
        <v>10</v>
      </c>
      <c r="Q3" t="inlineStr">
        <is>
          <t>2026-07-12_20-18-32/surrogate_6x6.pth</t>
        </is>
      </c>
      <c r="R3" t="n">
        <v>0.003</v>
      </c>
      <c r="S3" t="inlineStr">
        <is>
          <t>Done</t>
        </is>
      </c>
      <c r="T3" t="n">
        <v>30</v>
      </c>
      <c r="V3">
        <f>HYPERLINK("c:\users\omer\rl-qecc-data\reinforcementLearning\2026-07-27_21-48-42_1172833\postProcessing.png","plot")</f>
        <v/>
      </c>
      <c r="W3">
        <f>HYPERLINK("c:\users\omer\rl-qecc-data\reinforcementLearning\2026-07-27_21-48-42_1172833\search_9_6_seed_2718281_experiment.txt","experiment.txt")</f>
        <v/>
      </c>
    </row>
    <row r="4">
      <c r="G4" t="inlineStr">
        <is>
          <t>reinforcementlearning\2026-07-27_21-48-42_1172859</t>
        </is>
      </c>
      <c r="H4" t="inlineStr">
        <is>
          <t>c:/users/omer/rl-qecc-data/reinforcementLearning\2026-07-27_21-48-42_1172859</t>
        </is>
      </c>
      <c r="I4" t="n">
        <v>1618033</v>
      </c>
      <c r="J4" t="inlineStr">
        <is>
          <t>9,6</t>
        </is>
      </c>
      <c r="K4" t="n">
        <v>8</v>
      </c>
      <c r="M4" t="inlineStr">
        <is>
          <t>hybrid</t>
        </is>
      </c>
      <c r="N4" t="inlineStr">
        <is>
          <t>Yes</t>
        </is>
      </c>
      <c r="O4" t="n">
        <v>0.1</v>
      </c>
      <c r="P4" t="n">
        <v>10</v>
      </c>
      <c r="Q4" t="inlineStr">
        <is>
          <t>2026-07-12_20-18-32/surrogate_6x6.pth</t>
        </is>
      </c>
      <c r="R4" t="n">
        <v>0.003</v>
      </c>
      <c r="S4" t="inlineStr">
        <is>
          <t>Done</t>
        </is>
      </c>
      <c r="T4" t="n">
        <v>30</v>
      </c>
      <c r="V4">
        <f>HYPERLINK("c:\users\omer\rl-qecc-data\reinforcementLearning\2026-07-27_21-48-42_1172859\postProcessing.png","plot")</f>
        <v/>
      </c>
      <c r="W4">
        <f>HYPERLINK("c:\users\omer\rl-qecc-data\reinforcementLearning\2026-07-27_21-48-42_1172859\search_9_6_seed_1618033_experiment.txt","experiment.txt")</f>
        <v/>
      </c>
    </row>
    <row r="5">
      <c r="G5" t="inlineStr">
        <is>
          <t>reinforcementlearning\2026-07-27_21-48-44_1172885</t>
        </is>
      </c>
      <c r="H5" t="inlineStr">
        <is>
          <t>c:/users/omer/rl-qecc-data/reinforcementLearning\2026-07-27_21-48-44_1172885</t>
        </is>
      </c>
      <c r="I5" t="n">
        <v>1414213</v>
      </c>
      <c r="J5" t="inlineStr">
        <is>
          <t>9,6</t>
        </is>
      </c>
      <c r="K5" t="n">
        <v>8</v>
      </c>
      <c r="M5" t="inlineStr">
        <is>
          <t>hybrid</t>
        </is>
      </c>
      <c r="N5" t="inlineStr">
        <is>
          <t>Yes</t>
        </is>
      </c>
      <c r="O5" t="n">
        <v>0.1</v>
      </c>
      <c r="P5" t="n">
        <v>10</v>
      </c>
      <c r="Q5" t="inlineStr">
        <is>
          <t>2026-07-12_20-18-32/surrogate_6x6.pth</t>
        </is>
      </c>
      <c r="R5" t="n">
        <v>0.003</v>
      </c>
      <c r="S5" t="inlineStr">
        <is>
          <t>Done</t>
        </is>
      </c>
      <c r="T5" t="n">
        <v>30</v>
      </c>
      <c r="V5">
        <f>HYPERLINK("c:\users\omer\rl-qecc-data\reinforcementLearning\2026-07-27_21-48-44_1172885\postProcessing.png","plot")</f>
        <v/>
      </c>
      <c r="W5">
        <f>HYPERLINK("c:\users\omer\rl-qecc-data\reinforcementLearning\2026-07-27_21-48-44_1172885\search_9_6_seed_1414213_experiment.txt","experiment.txt")</f>
        <v/>
      </c>
    </row>
    <row r="6">
      <c r="G6" t="inlineStr">
        <is>
          <t>reinforcementlearning\2026-07-27_21-48-47_1172914</t>
        </is>
      </c>
      <c r="H6" t="inlineStr">
        <is>
          <t>c:/users/omer/rl-qecc-data/reinforcementLearning\2026-07-27_21-48-47_1172914</t>
        </is>
      </c>
      <c r="I6" t="n">
        <v>1732050</v>
      </c>
      <c r="J6" t="inlineStr">
        <is>
          <t>9,6</t>
        </is>
      </c>
      <c r="K6" t="n">
        <v>8</v>
      </c>
      <c r="M6" t="inlineStr">
        <is>
          <t>hybrid</t>
        </is>
      </c>
      <c r="N6" t="inlineStr">
        <is>
          <t>Yes</t>
        </is>
      </c>
      <c r="O6" t="n">
        <v>0.1</v>
      </c>
      <c r="P6" t="n">
        <v>10</v>
      </c>
      <c r="Q6" t="inlineStr">
        <is>
          <t>2026-07-12_20-18-32/surrogate_6x6.pth</t>
        </is>
      </c>
      <c r="R6" t="n">
        <v>0.003</v>
      </c>
      <c r="S6" t="inlineStr">
        <is>
          <t>Done</t>
        </is>
      </c>
      <c r="T6" t="n">
        <v>30</v>
      </c>
      <c r="V6">
        <f>HYPERLINK("c:\users\omer\rl-qecc-data\reinforcementLearning\2026-07-27_21-48-47_1172914\postProcessing.png","plot")</f>
        <v/>
      </c>
      <c r="W6">
        <f>HYPERLINK("c:\users\omer\rl-qecc-data\reinforcementLearning\2026-07-27_21-48-47_1172914\search_9_6_seed_1732050_experiment.txt","experiment.txt")</f>
        <v/>
      </c>
    </row>
    <row r="7">
      <c r="G7" t="inlineStr">
        <is>
          <t>reinforcementlearning\2026-07-27_21-48-51_1172941</t>
        </is>
      </c>
      <c r="H7" t="inlineStr">
        <is>
          <t>c:/users/omer/rl-qecc-data/reinforcementLearning\2026-07-27_21-48-51_1172941</t>
        </is>
      </c>
      <c r="I7" t="n">
        <v>2236067</v>
      </c>
      <c r="J7" t="inlineStr">
        <is>
          <t>9,6</t>
        </is>
      </c>
      <c r="K7" t="n">
        <v>8</v>
      </c>
      <c r="M7" t="inlineStr">
        <is>
          <t>hybrid</t>
        </is>
      </c>
      <c r="N7" t="inlineStr">
        <is>
          <t>Yes</t>
        </is>
      </c>
      <c r="O7" t="n">
        <v>0.1</v>
      </c>
      <c r="P7" t="n">
        <v>10</v>
      </c>
      <c r="Q7" t="inlineStr">
        <is>
          <t>2026-07-12_20-18-32/surrogate_6x6.pth</t>
        </is>
      </c>
      <c r="R7" t="n">
        <v>0.003</v>
      </c>
      <c r="S7" t="inlineStr">
        <is>
          <t>Done</t>
        </is>
      </c>
      <c r="T7" t="n">
        <v>30</v>
      </c>
      <c r="V7">
        <f>HYPERLINK("c:\users\omer\rl-qecc-data\reinforcementLearning\2026-07-27_21-48-51_1172941\postProcessing.png","plot")</f>
        <v/>
      </c>
      <c r="W7">
        <f>HYPERLINK("c:\users\omer\rl-qecc-data\reinforcementLearning\2026-07-27_21-48-51_1172941\search_9_6_seed_2236067_experiment.txt","experiment.txt")</f>
        <v/>
      </c>
    </row>
    <row r="8">
      <c r="G8" t="inlineStr">
        <is>
          <t>reinforcementlearning\2026-07-27_21-48-54_1173000</t>
        </is>
      </c>
      <c r="H8" t="inlineStr">
        <is>
          <t>c:/users/omer/rl-qecc-data/reinforcementLearning\2026-07-27_21-48-54_1173000</t>
        </is>
      </c>
      <c r="I8" t="n">
        <v>2645751</v>
      </c>
      <c r="J8" t="inlineStr">
        <is>
          <t>9,6</t>
        </is>
      </c>
      <c r="K8" t="n">
        <v>8</v>
      </c>
      <c r="M8" t="inlineStr">
        <is>
          <t>hybrid</t>
        </is>
      </c>
      <c r="N8" t="inlineStr">
        <is>
          <t>Yes</t>
        </is>
      </c>
      <c r="O8" t="n">
        <v>0.1</v>
      </c>
      <c r="P8" t="n">
        <v>10</v>
      </c>
      <c r="Q8" t="inlineStr">
        <is>
          <t>2026-07-12_20-18-32/surrogate_6x6.pth</t>
        </is>
      </c>
      <c r="R8" t="n">
        <v>0.003</v>
      </c>
      <c r="S8" t="inlineStr">
        <is>
          <t>Done</t>
        </is>
      </c>
      <c r="T8" t="n">
        <v>30</v>
      </c>
      <c r="V8">
        <f>HYPERLINK("c:\users\omer\rl-qecc-data\reinforcementLearning\2026-07-27_21-48-54_1173000\postProcessing.png","plot")</f>
        <v/>
      </c>
      <c r="W8">
        <f>HYPERLINK("c:\users\omer\rl-qecc-data\reinforcementLearning\2026-07-27_21-48-54_1173000\search_9_6_seed_2645751_experiment.txt","experiment.txt")</f>
        <v/>
      </c>
    </row>
    <row r="9">
      <c r="G9" t="inlineStr">
        <is>
          <t>reinforcementlearning\2026-07-27_21-48-56_1173035</t>
        </is>
      </c>
      <c r="H9" t="inlineStr">
        <is>
          <t>c:/users/omer/rl-qecc-data/reinforcementLearning\2026-07-27_21-48-56_1173035</t>
        </is>
      </c>
      <c r="I9" t="n">
        <v>3316624</v>
      </c>
      <c r="J9" t="inlineStr">
        <is>
          <t>9,6</t>
        </is>
      </c>
      <c r="K9" t="n">
        <v>8</v>
      </c>
      <c r="M9" t="inlineStr">
        <is>
          <t>hybrid</t>
        </is>
      </c>
      <c r="N9" t="inlineStr">
        <is>
          <t>Yes</t>
        </is>
      </c>
      <c r="O9" t="n">
        <v>0.1</v>
      </c>
      <c r="P9" t="n">
        <v>10</v>
      </c>
      <c r="Q9" t="inlineStr">
        <is>
          <t>2026-07-12_20-18-32/surrogate_6x6.pth</t>
        </is>
      </c>
      <c r="R9" t="n">
        <v>0.003</v>
      </c>
      <c r="S9" t="inlineStr">
        <is>
          <t>Done</t>
        </is>
      </c>
      <c r="T9" t="n">
        <v>30</v>
      </c>
      <c r="V9">
        <f>HYPERLINK("c:\users\omer\rl-qecc-data\reinforcementLearning\2026-07-27_21-48-56_1173035\postProcessing.png","plot")</f>
        <v/>
      </c>
      <c r="W9">
        <f>HYPERLINK("c:\users\omer\rl-qecc-data\reinforcementLearning\2026-07-27_21-48-56_1173035\search_9_6_seed_3316624_experiment.txt","experiment.txt")</f>
        <v/>
      </c>
    </row>
    <row r="10">
      <c r="G10" t="inlineStr">
        <is>
          <t>reinforcementlearning\2026-07-27_21-48-59_1173071</t>
        </is>
      </c>
      <c r="H10" t="inlineStr">
        <is>
          <t>c:/users/omer/rl-qecc-data/reinforcementLearning\2026-07-27_21-48-59_1173071</t>
        </is>
      </c>
      <c r="I10" t="n">
        <v>1234567</v>
      </c>
      <c r="J10" t="inlineStr">
        <is>
          <t>9,6</t>
        </is>
      </c>
      <c r="K10" t="n">
        <v>8</v>
      </c>
      <c r="M10" t="inlineStr">
        <is>
          <t>hybrid</t>
        </is>
      </c>
      <c r="N10" t="inlineStr">
        <is>
          <t>Yes</t>
        </is>
      </c>
      <c r="O10" t="n">
        <v>0.1</v>
      </c>
      <c r="P10" t="n">
        <v>10</v>
      </c>
      <c r="Q10" t="inlineStr">
        <is>
          <t>2026-07-12_20-18-32/surrogate_6x6.pth</t>
        </is>
      </c>
      <c r="R10" t="n">
        <v>0.003</v>
      </c>
      <c r="S10" t="inlineStr">
        <is>
          <t>Done</t>
        </is>
      </c>
      <c r="T10" t="n">
        <v>30</v>
      </c>
      <c r="V10">
        <f>HYPERLINK("c:\users\omer\rl-qecc-data\reinforcementLearning\2026-07-27_21-48-59_1173071\postProcessing.png","plot")</f>
        <v/>
      </c>
      <c r="W10">
        <f>HYPERLINK("c:\users\omer\rl-qecc-data\reinforcementLearning\2026-07-27_21-48-59_1173071\search_9_6_seed_1234567_experiment.txt","experiment.txt")</f>
        <v/>
      </c>
    </row>
    <row r="11">
      <c r="G11" t="inlineStr">
        <is>
          <t>reinforcementlearning\2026-07-27_21-49-02_1173109</t>
        </is>
      </c>
      <c r="H11" t="inlineStr">
        <is>
          <t>c:/users/omer/rl-qecc-data/reinforcementLearning\2026-07-27_21-49-02_1173109</t>
        </is>
      </c>
      <c r="I11" t="n">
        <v>7654321</v>
      </c>
      <c r="J11" t="inlineStr">
        <is>
          <t>9,6</t>
        </is>
      </c>
      <c r="K11" t="n">
        <v>8</v>
      </c>
      <c r="M11" t="inlineStr">
        <is>
          <t>hybrid</t>
        </is>
      </c>
      <c r="N11" t="inlineStr">
        <is>
          <t>Yes</t>
        </is>
      </c>
      <c r="O11" t="n">
        <v>0.1</v>
      </c>
      <c r="P11" t="n">
        <v>10</v>
      </c>
      <c r="Q11" t="inlineStr">
        <is>
          <t>2026-07-12_20-18-32/surrogate_6x6.pth</t>
        </is>
      </c>
      <c r="R11" t="n">
        <v>0.003</v>
      </c>
      <c r="S11" t="inlineStr">
        <is>
          <t>Done</t>
        </is>
      </c>
      <c r="T11" t="n">
        <v>30</v>
      </c>
      <c r="V11">
        <f>HYPERLINK("c:\users\omer\rl-qecc-data\reinforcementLearning\2026-07-27_21-49-02_1173109\postProcessing.png","plot")</f>
        <v/>
      </c>
      <c r="W11">
        <f>HYPERLINK("c:\users\omer\rl-qecc-data\reinforcementLearning\2026-07-27_21-49-02_1173109\search_9_6_seed_7654321_experiment.txt","experiment.txt")</f>
        <v/>
      </c>
    </row>
    <row r="12">
      <c r="G12" t="inlineStr">
        <is>
          <t>reinforcementlearning\2026-07-27_21-49-05_1173144</t>
        </is>
      </c>
      <c r="H12" t="inlineStr">
        <is>
          <t>c:/users/omer/rl-qecc-data/reinforcementLearning\2026-07-27_21-49-05_1173144</t>
        </is>
      </c>
      <c r="I12" t="n">
        <v>9876543</v>
      </c>
      <c r="J12" t="inlineStr">
        <is>
          <t>9,6</t>
        </is>
      </c>
      <c r="K12" t="n">
        <v>8</v>
      </c>
      <c r="M12" t="inlineStr">
        <is>
          <t>hybrid</t>
        </is>
      </c>
      <c r="N12" t="inlineStr">
        <is>
          <t>Yes</t>
        </is>
      </c>
      <c r="O12" t="n">
        <v>0.1</v>
      </c>
      <c r="P12" t="n">
        <v>10</v>
      </c>
      <c r="Q12" t="inlineStr">
        <is>
          <t>2026-07-12_20-18-32/surrogate_6x6.pth</t>
        </is>
      </c>
      <c r="R12" t="n">
        <v>0.003</v>
      </c>
      <c r="S12" t="inlineStr">
        <is>
          <t>Done</t>
        </is>
      </c>
      <c r="T12" t="n">
        <v>30</v>
      </c>
      <c r="V12">
        <f>HYPERLINK("c:\users\omer\rl-qecc-data\reinforcementLearning\2026-07-27_21-49-05_1173144\postProcessing.png","plot")</f>
        <v/>
      </c>
      <c r="W12">
        <f>HYPERLINK("c:\users\omer\rl-qecc-data\reinforcementLearning\2026-07-27_21-49-05_1173144\search_9_6_seed_9876543_experiment.txt","experiment.txt")</f>
        <v/>
      </c>
    </row>
    <row r="13">
      <c r="G13" t="inlineStr">
        <is>
          <t>reinforcementlearning\2026-07-27_21-49-09_1173179</t>
        </is>
      </c>
      <c r="H13" t="inlineStr">
        <is>
          <t>c:/users/omer/rl-qecc-data/reinforcementLearning\2026-07-27_21-49-09_1173179</t>
        </is>
      </c>
      <c r="I13" t="n">
        <v>1111111</v>
      </c>
      <c r="J13" t="inlineStr">
        <is>
          <t>9,6</t>
        </is>
      </c>
      <c r="K13" t="n">
        <v>8</v>
      </c>
      <c r="M13" t="inlineStr">
        <is>
          <t>hybrid</t>
        </is>
      </c>
      <c r="N13" t="inlineStr">
        <is>
          <t>Yes</t>
        </is>
      </c>
      <c r="O13" t="n">
        <v>0.1</v>
      </c>
      <c r="P13" t="n">
        <v>10</v>
      </c>
      <c r="Q13" t="inlineStr">
        <is>
          <t>2026-07-12_20-18-32/surrogate_6x6.pth</t>
        </is>
      </c>
      <c r="R13" t="n">
        <v>0.003</v>
      </c>
      <c r="S13" t="inlineStr">
        <is>
          <t>Done</t>
        </is>
      </c>
      <c r="T13" t="n">
        <v>30</v>
      </c>
      <c r="V13">
        <f>HYPERLINK("c:\users\omer\rl-qecc-data\reinforcementLearning\2026-07-27_21-49-09_1173179\postProcessing.png","plot")</f>
        <v/>
      </c>
      <c r="W13">
        <f>HYPERLINK("c:\users\omer\rl-qecc-data\reinforcementLearning\2026-07-27_21-49-09_1173179\search_9_6_seed_1111111_experiment.txt","experiment.txt")</f>
        <v/>
      </c>
    </row>
    <row r="14">
      <c r="G14" t="inlineStr">
        <is>
          <t>reinforcementlearning\2026-07-27_21-50-10_734813</t>
        </is>
      </c>
      <c r="H14" t="inlineStr">
        <is>
          <t>c:/users/omer/rl-qecc-data/reinforcementLearning\2026-07-27_21-50-10_734813</t>
        </is>
      </c>
      <c r="I14" t="n">
        <v>3141592</v>
      </c>
      <c r="J14" t="inlineStr">
        <is>
          <t>9,6</t>
        </is>
      </c>
      <c r="K14" t="n">
        <v>8</v>
      </c>
      <c r="M14" t="inlineStr">
        <is>
          <t>hybrid</t>
        </is>
      </c>
      <c r="N14" t="inlineStr">
        <is>
          <t>Yes</t>
        </is>
      </c>
      <c r="O14" t="n">
        <v>0.1</v>
      </c>
      <c r="P14" t="n">
        <v>10</v>
      </c>
      <c r="Q14" t="inlineStr">
        <is>
          <t>2026-07-12_21-15-58/surrogate_6x6.pth</t>
        </is>
      </c>
      <c r="R14" t="n">
        <v>0.003</v>
      </c>
      <c r="S14" t="inlineStr">
        <is>
          <t>Done</t>
        </is>
      </c>
      <c r="T14" t="n">
        <v>30</v>
      </c>
      <c r="V14">
        <f>HYPERLINK("c:\users\omer\rl-qecc-data\reinforcementLearning\2026-07-27_21-50-10_734813\postProcessing.png","plot")</f>
        <v/>
      </c>
      <c r="W14">
        <f>HYPERLINK("c:\users\omer\rl-qecc-data\reinforcementLearning\2026-07-27_21-50-10_734813\search_9_6_seed_3141592_experiment.txt","experiment.txt")</f>
        <v/>
      </c>
    </row>
    <row r="15">
      <c r="G15" t="inlineStr">
        <is>
          <t>reinforcementlearning\2026-07-27_21-50-10_734850</t>
        </is>
      </c>
      <c r="H15" t="inlineStr">
        <is>
          <t>c:/users/omer/rl-qecc-data/reinforcementLearning\2026-07-27_21-50-10_734850</t>
        </is>
      </c>
      <c r="I15" t="n">
        <v>2718281</v>
      </c>
      <c r="J15" t="inlineStr">
        <is>
          <t>9,6</t>
        </is>
      </c>
      <c r="K15" t="n">
        <v>8</v>
      </c>
      <c r="M15" t="inlineStr">
        <is>
          <t>hybrid</t>
        </is>
      </c>
      <c r="N15" t="inlineStr">
        <is>
          <t>Yes</t>
        </is>
      </c>
      <c r="O15" t="n">
        <v>0.1</v>
      </c>
      <c r="P15" t="n">
        <v>10</v>
      </c>
      <c r="Q15" t="inlineStr">
        <is>
          <t>2026-07-12_21-15-58/surrogate_6x6.pth</t>
        </is>
      </c>
      <c r="R15" t="n">
        <v>0.003</v>
      </c>
      <c r="S15" t="inlineStr">
        <is>
          <t>Done</t>
        </is>
      </c>
      <c r="T15" t="n">
        <v>30</v>
      </c>
      <c r="V15">
        <f>HYPERLINK("c:\users\omer\rl-qecc-data\reinforcementLearning\2026-07-27_21-50-10_734850\postProcessing.png","plot")</f>
        <v/>
      </c>
      <c r="W15">
        <f>HYPERLINK("c:\users\omer\rl-qecc-data\reinforcementLearning\2026-07-27_21-50-10_734850\search_9_6_seed_2718281_experiment.txt","experiment.txt")</f>
        <v/>
      </c>
    </row>
    <row r="16">
      <c r="G16" t="inlineStr">
        <is>
          <t>reinforcementlearning\2026-07-27_21-50-10_734883</t>
        </is>
      </c>
      <c r="H16" t="inlineStr">
        <is>
          <t>c:/users/omer/rl-qecc-data/reinforcementLearning\2026-07-27_21-50-10_734883</t>
        </is>
      </c>
      <c r="I16" t="n">
        <v>1618033</v>
      </c>
      <c r="J16" t="inlineStr">
        <is>
          <t>9,6</t>
        </is>
      </c>
      <c r="K16" t="n">
        <v>8</v>
      </c>
      <c r="M16" t="inlineStr">
        <is>
          <t>hybrid</t>
        </is>
      </c>
      <c r="N16" t="inlineStr">
        <is>
          <t>Yes</t>
        </is>
      </c>
      <c r="O16" t="n">
        <v>0.1</v>
      </c>
      <c r="P16" t="n">
        <v>10</v>
      </c>
      <c r="Q16" t="inlineStr">
        <is>
          <t>2026-07-12_21-15-58/surrogate_6x6.pth</t>
        </is>
      </c>
      <c r="R16" t="n">
        <v>0.003</v>
      </c>
      <c r="S16" t="inlineStr">
        <is>
          <t>Done</t>
        </is>
      </c>
      <c r="T16" t="n">
        <v>30</v>
      </c>
      <c r="V16">
        <f>HYPERLINK("c:\users\omer\rl-qecc-data\reinforcementLearning\2026-07-27_21-50-10_734883\postProcessing.png","plot")</f>
        <v/>
      </c>
      <c r="W16">
        <f>HYPERLINK("c:\users\omer\rl-qecc-data\reinforcementLearning\2026-07-27_21-50-10_734883\search_9_6_seed_1618033_experiment.txt","experiment.txt")</f>
        <v/>
      </c>
    </row>
    <row r="17">
      <c r="G17" t="inlineStr">
        <is>
          <t>reinforcementlearning\2026-07-27_21-50-13_734914</t>
        </is>
      </c>
      <c r="H17" t="inlineStr">
        <is>
          <t>c:/users/omer/rl-qecc-data/reinforcementLearning\2026-07-27_21-50-13_734914</t>
        </is>
      </c>
      <c r="I17" t="n">
        <v>1414213</v>
      </c>
      <c r="J17" t="inlineStr">
        <is>
          <t>9,6</t>
        </is>
      </c>
      <c r="K17" t="n">
        <v>8</v>
      </c>
      <c r="M17" t="inlineStr">
        <is>
          <t>hybrid</t>
        </is>
      </c>
      <c r="N17" t="inlineStr">
        <is>
          <t>Yes</t>
        </is>
      </c>
      <c r="O17" t="n">
        <v>0.1</v>
      </c>
      <c r="P17" t="n">
        <v>10</v>
      </c>
      <c r="Q17" t="inlineStr">
        <is>
          <t>2026-07-12_21-15-58/surrogate_6x6.pth</t>
        </is>
      </c>
      <c r="R17" t="n">
        <v>0.003</v>
      </c>
      <c r="S17" t="inlineStr">
        <is>
          <t>Done</t>
        </is>
      </c>
      <c r="T17" t="n">
        <v>30</v>
      </c>
      <c r="V17">
        <f>HYPERLINK("c:\users\omer\rl-qecc-data\reinforcementLearning\2026-07-27_21-50-13_734914\postProcessing.png","plot")</f>
        <v/>
      </c>
      <c r="W17">
        <f>HYPERLINK("c:\users\omer\rl-qecc-data\reinforcementLearning\2026-07-27_21-50-13_734914\search_9_6_seed_1414213_experiment.txt","experiment.txt")</f>
        <v/>
      </c>
    </row>
    <row r="18">
      <c r="G18" t="inlineStr">
        <is>
          <t>reinforcementlearning\2026-07-27_21-50-16_734943</t>
        </is>
      </c>
      <c r="H18" t="inlineStr">
        <is>
          <t>c:/users/omer/rl-qecc-data/reinforcementLearning\2026-07-27_21-50-16_734943</t>
        </is>
      </c>
      <c r="I18" t="n">
        <v>1732050</v>
      </c>
      <c r="J18" t="inlineStr">
        <is>
          <t>9,6</t>
        </is>
      </c>
      <c r="K18" t="n">
        <v>8</v>
      </c>
      <c r="M18" t="inlineStr">
        <is>
          <t>hybrid</t>
        </is>
      </c>
      <c r="N18" t="inlineStr">
        <is>
          <t>Yes</t>
        </is>
      </c>
      <c r="O18" t="n">
        <v>0.1</v>
      </c>
      <c r="P18" t="n">
        <v>10</v>
      </c>
      <c r="Q18" t="inlineStr">
        <is>
          <t>2026-07-12_21-15-58/surrogate_6x6.pth</t>
        </is>
      </c>
      <c r="R18" t="n">
        <v>0.003</v>
      </c>
      <c r="S18" t="inlineStr">
        <is>
          <t>Done</t>
        </is>
      </c>
      <c r="T18" t="n">
        <v>30</v>
      </c>
      <c r="V18">
        <f>HYPERLINK("c:\users\omer\rl-qecc-data\reinforcementLearning\2026-07-27_21-50-16_734943\postProcessing.png","plot")</f>
        <v/>
      </c>
      <c r="W18">
        <f>HYPERLINK("c:\users\omer\rl-qecc-data\reinforcementLearning\2026-07-27_21-50-16_734943\search_9_6_seed_1732050_experiment.txt","experiment.txt")</f>
        <v/>
      </c>
    </row>
    <row r="19">
      <c r="G19" t="inlineStr">
        <is>
          <t>reinforcementlearning\2026-07-27_21-50-20_734978</t>
        </is>
      </c>
      <c r="H19" t="inlineStr">
        <is>
          <t>c:/users/omer/rl-qecc-data/reinforcementLearning\2026-07-27_21-50-20_734978</t>
        </is>
      </c>
      <c r="I19" t="n">
        <v>2236067</v>
      </c>
      <c r="J19" t="inlineStr">
        <is>
          <t>9,6</t>
        </is>
      </c>
      <c r="K19" t="n">
        <v>8</v>
      </c>
      <c r="M19" t="inlineStr">
        <is>
          <t>hybrid</t>
        </is>
      </c>
      <c r="N19" t="inlineStr">
        <is>
          <t>Yes</t>
        </is>
      </c>
      <c r="O19" t="n">
        <v>0.1</v>
      </c>
      <c r="P19" t="n">
        <v>10</v>
      </c>
      <c r="Q19" t="inlineStr">
        <is>
          <t>2026-07-12_21-15-58/surrogate_6x6.pth</t>
        </is>
      </c>
      <c r="R19" t="n">
        <v>0.003</v>
      </c>
      <c r="S19" t="inlineStr">
        <is>
          <t>Done</t>
        </is>
      </c>
      <c r="T19" t="n">
        <v>30</v>
      </c>
      <c r="V19">
        <f>HYPERLINK("c:\users\omer\rl-qecc-data\reinforcementLearning\2026-07-27_21-50-20_734978\postProcessing.png","plot")</f>
        <v/>
      </c>
      <c r="W19">
        <f>HYPERLINK("c:\users\omer\rl-qecc-data\reinforcementLearning\2026-07-27_21-50-20_734978\search_9_6_seed_2236067_experiment.txt","experiment.txt")</f>
        <v/>
      </c>
    </row>
    <row r="20">
      <c r="G20" t="inlineStr">
        <is>
          <t>reinforcementlearning\2026-07-27_21-50-23_735045</t>
        </is>
      </c>
      <c r="H20" t="inlineStr">
        <is>
          <t>c:/users/omer/rl-qecc-data/reinforcementLearning\2026-07-27_21-50-23_735045</t>
        </is>
      </c>
      <c r="I20" t="n">
        <v>2645751</v>
      </c>
      <c r="J20" t="inlineStr">
        <is>
          <t>9,6</t>
        </is>
      </c>
      <c r="K20" t="n">
        <v>8</v>
      </c>
      <c r="M20" t="inlineStr">
        <is>
          <t>hybrid</t>
        </is>
      </c>
      <c r="N20" t="inlineStr">
        <is>
          <t>Yes</t>
        </is>
      </c>
      <c r="O20" t="n">
        <v>0.1</v>
      </c>
      <c r="P20" t="n">
        <v>10</v>
      </c>
      <c r="Q20" t="inlineStr">
        <is>
          <t>2026-07-12_21-15-58/surrogate_6x6.pth</t>
        </is>
      </c>
      <c r="R20" t="n">
        <v>0.003</v>
      </c>
      <c r="S20" t="inlineStr">
        <is>
          <t>Done</t>
        </is>
      </c>
      <c r="T20" t="n">
        <v>30</v>
      </c>
      <c r="V20">
        <f>HYPERLINK("c:\users\omer\rl-qecc-data\reinforcementLearning\2026-07-27_21-50-23_735045\postProcessing.png","plot")</f>
        <v/>
      </c>
      <c r="W20">
        <f>HYPERLINK("c:\users\omer\rl-qecc-data\reinforcementLearning\2026-07-27_21-50-23_735045\search_9_6_seed_2645751_experiment.txt","experiment.txt")</f>
        <v/>
      </c>
    </row>
    <row r="21">
      <c r="G21" t="inlineStr">
        <is>
          <t>reinforcementlearning\2026-07-27_21-50-26_735091</t>
        </is>
      </c>
      <c r="H21" t="inlineStr">
        <is>
          <t>c:/users/omer/rl-qecc-data/reinforcementLearning\2026-07-27_21-50-26_735091</t>
        </is>
      </c>
      <c r="I21" t="n">
        <v>3316624</v>
      </c>
      <c r="J21" t="inlineStr">
        <is>
          <t>9,6</t>
        </is>
      </c>
      <c r="K21" t="n">
        <v>8</v>
      </c>
      <c r="M21" t="inlineStr">
        <is>
          <t>hybrid</t>
        </is>
      </c>
      <c r="N21" t="inlineStr">
        <is>
          <t>Yes</t>
        </is>
      </c>
      <c r="O21" t="n">
        <v>0.1</v>
      </c>
      <c r="P21" t="n">
        <v>10</v>
      </c>
      <c r="Q21" t="inlineStr">
        <is>
          <t>2026-07-12_21-15-58/surrogate_6x6.pth</t>
        </is>
      </c>
      <c r="R21" t="n">
        <v>0.003</v>
      </c>
      <c r="S21" t="inlineStr">
        <is>
          <t>Done</t>
        </is>
      </c>
      <c r="T21" t="n">
        <v>30</v>
      </c>
      <c r="V21">
        <f>HYPERLINK("c:\users\omer\rl-qecc-data\reinforcementLearning\2026-07-27_21-50-26_735091\postProcessing.png","plot")</f>
        <v/>
      </c>
      <c r="W21">
        <f>HYPERLINK("c:\users\omer\rl-qecc-data\reinforcementLearning\2026-07-27_21-50-26_735091\search_9_6_seed_3316624_experiment.txt","experiment.txt")</f>
        <v/>
      </c>
    </row>
    <row r="22">
      <c r="G22" t="inlineStr">
        <is>
          <t>reinforcementlearning\2026-07-27_21-50-28_735131</t>
        </is>
      </c>
      <c r="H22" t="inlineStr">
        <is>
          <t>c:/users/omer/rl-qecc-data/reinforcementLearning\2026-07-27_21-50-28_735131</t>
        </is>
      </c>
      <c r="I22" t="n">
        <v>1234567</v>
      </c>
      <c r="J22" t="inlineStr">
        <is>
          <t>9,6</t>
        </is>
      </c>
      <c r="K22" t="n">
        <v>8</v>
      </c>
      <c r="M22" t="inlineStr">
        <is>
          <t>hybrid</t>
        </is>
      </c>
      <c r="N22" t="inlineStr">
        <is>
          <t>Yes</t>
        </is>
      </c>
      <c r="O22" t="n">
        <v>0.1</v>
      </c>
      <c r="P22" t="n">
        <v>10</v>
      </c>
      <c r="Q22" t="inlineStr">
        <is>
          <t>2026-07-12_21-15-58/surrogate_6x6.pth</t>
        </is>
      </c>
      <c r="R22" t="n">
        <v>0.003</v>
      </c>
      <c r="S22" t="inlineStr">
        <is>
          <t>Done</t>
        </is>
      </c>
      <c r="T22" t="n">
        <v>30</v>
      </c>
      <c r="V22">
        <f>HYPERLINK("c:\users\omer\rl-qecc-data\reinforcementLearning\2026-07-27_21-50-28_735131\postProcessing.png","plot")</f>
        <v/>
      </c>
      <c r="W22">
        <f>HYPERLINK("c:\users\omer\rl-qecc-data\reinforcementLearning\2026-07-27_21-50-28_735131\search_9_6_seed_1234567_experiment.txt","experiment.txt")</f>
        <v/>
      </c>
    </row>
    <row r="23">
      <c r="G23" t="inlineStr">
        <is>
          <t>reinforcementlearning\2026-07-27_21-50-32_735172</t>
        </is>
      </c>
      <c r="H23" t="inlineStr">
        <is>
          <t>c:/users/omer/rl-qecc-data/reinforcementLearning\2026-07-27_21-50-32_735172</t>
        </is>
      </c>
      <c r="I23" t="n">
        <v>7654321</v>
      </c>
      <c r="J23" t="inlineStr">
        <is>
          <t>9,6</t>
        </is>
      </c>
      <c r="K23" t="n">
        <v>8</v>
      </c>
      <c r="M23" t="inlineStr">
        <is>
          <t>hybrid</t>
        </is>
      </c>
      <c r="N23" t="inlineStr">
        <is>
          <t>Yes</t>
        </is>
      </c>
      <c r="O23" t="n">
        <v>0.1</v>
      </c>
      <c r="P23" t="n">
        <v>10</v>
      </c>
      <c r="Q23" t="inlineStr">
        <is>
          <t>2026-07-12_21-15-58/surrogate_6x6.pth</t>
        </is>
      </c>
      <c r="R23" t="n">
        <v>0.003</v>
      </c>
      <c r="S23" t="inlineStr">
        <is>
          <t>Done</t>
        </is>
      </c>
      <c r="T23" t="n">
        <v>30</v>
      </c>
      <c r="V23">
        <f>HYPERLINK("c:\users\omer\rl-qecc-data\reinforcementLearning\2026-07-27_21-50-32_735172\postProcessing.png","plot")</f>
        <v/>
      </c>
      <c r="W23">
        <f>HYPERLINK("c:\users\omer\rl-qecc-data\reinforcementLearning\2026-07-27_21-50-32_735172\search_9_6_seed_7654321_experiment.txt","experiment.txt")</f>
        <v/>
      </c>
    </row>
    <row r="24">
      <c r="G24" t="inlineStr">
        <is>
          <t>reinforcementlearning\2026-07-27_21-50-34_735210</t>
        </is>
      </c>
      <c r="H24" t="inlineStr">
        <is>
          <t>c:/users/omer/rl-qecc-data/reinforcementLearning\2026-07-27_21-50-34_735210</t>
        </is>
      </c>
      <c r="I24" t="n">
        <v>9876543</v>
      </c>
      <c r="J24" t="inlineStr">
        <is>
          <t>9,6</t>
        </is>
      </c>
      <c r="K24" t="n">
        <v>8</v>
      </c>
      <c r="M24" t="inlineStr">
        <is>
          <t>hybrid</t>
        </is>
      </c>
      <c r="N24" t="inlineStr">
        <is>
          <t>Yes</t>
        </is>
      </c>
      <c r="O24" t="n">
        <v>0.1</v>
      </c>
      <c r="P24" t="n">
        <v>10</v>
      </c>
      <c r="Q24" t="inlineStr">
        <is>
          <t>2026-07-12_21-15-58/surrogate_6x6.pth</t>
        </is>
      </c>
      <c r="R24" t="n">
        <v>0.003</v>
      </c>
      <c r="S24" t="inlineStr">
        <is>
          <t>Done</t>
        </is>
      </c>
      <c r="T24" t="n">
        <v>30</v>
      </c>
      <c r="V24">
        <f>HYPERLINK("c:\users\omer\rl-qecc-data\reinforcementLearning\2026-07-27_21-50-34_735210\postProcessing.png","plot")</f>
        <v/>
      </c>
      <c r="W24">
        <f>HYPERLINK("c:\users\omer\rl-qecc-data\reinforcementLearning\2026-07-27_21-50-34_735210\search_9_6_seed_9876543_experiment.txt","experiment.txt")</f>
        <v/>
      </c>
    </row>
    <row r="25">
      <c r="G25" t="inlineStr">
        <is>
          <t>reinforcementlearning\2026-08-02_14-39-04_1157089</t>
        </is>
      </c>
      <c r="H25" t="inlineStr">
        <is>
          <t>c:/users/omer/rl-qecc-data/reinforcementLearning\2026-08-02_14-39-04_1157089</t>
        </is>
      </c>
      <c r="I25" t="n">
        <v>90210</v>
      </c>
      <c r="J25" t="inlineStr">
        <is>
          <t>6,6</t>
        </is>
      </c>
      <c r="K25" t="n">
        <v>12</v>
      </c>
      <c r="M25" t="inlineStr">
        <is>
          <t>hybrid</t>
        </is>
      </c>
      <c r="N25" t="inlineStr">
        <is>
          <t>Yes</t>
        </is>
      </c>
      <c r="O25" t="n">
        <v>0.1</v>
      </c>
      <c r="P25" t="n">
        <v>20</v>
      </c>
      <c r="Q25" t="inlineStr">
        <is>
          <t>sweep2/g5_ground_anch_H3_s54321.pth</t>
        </is>
      </c>
      <c r="R25" t="n">
        <v>0.03</v>
      </c>
      <c r="S25" t="inlineStr">
        <is>
          <t>Done</t>
        </is>
      </c>
      <c r="T25" t="n">
        <v>30</v>
      </c>
      <c r="V25">
        <f>HYPERLINK("c:\users\omer\rl-qecc-data\reinforcementLearning\2026-08-02_14-39-04_1157089\postProcessing.png","plot")</f>
        <v/>
      </c>
      <c r="W25">
        <f>HYPERLINK("c:\users\omer\rl-qecc-data\reinforcementLearning\2026-08-02_14-39-04_1157089\experiment_6_6_seed_90210","experiment.txt")</f>
        <v/>
      </c>
    </row>
    <row r="26">
      <c r="G26" t="inlineStr">
        <is>
          <t>reinforcementlearning\2026-08-02_14-39-04_1157123</t>
        </is>
      </c>
      <c r="H26" t="inlineStr">
        <is>
          <t>c:/users/omer/rl-qecc-data/reinforcementLearning\2026-08-02_14-39-04_1157123</t>
        </is>
      </c>
      <c r="I26" t="n">
        <v>466555</v>
      </c>
      <c r="J26" t="inlineStr">
        <is>
          <t>6,6</t>
        </is>
      </c>
      <c r="K26" t="n">
        <v>12</v>
      </c>
      <c r="M26" t="inlineStr">
        <is>
          <t>hybrid</t>
        </is>
      </c>
      <c r="N26" t="inlineStr">
        <is>
          <t>Yes</t>
        </is>
      </c>
      <c r="O26" t="n">
        <v>0.1</v>
      </c>
      <c r="P26" t="n">
        <v>20</v>
      </c>
      <c r="Q26" t="inlineStr">
        <is>
          <t>sweep2/g5_ground_anch_H3_s54321.pth</t>
        </is>
      </c>
      <c r="R26" t="n">
        <v>0.03</v>
      </c>
      <c r="S26" t="inlineStr">
        <is>
          <t>Done</t>
        </is>
      </c>
      <c r="T26" t="n">
        <v>30</v>
      </c>
      <c r="V26">
        <f>HYPERLINK("c:\users\omer\rl-qecc-data\reinforcementLearning\2026-08-02_14-39-04_1157123\postProcessing.png","plot")</f>
        <v/>
      </c>
      <c r="W26">
        <f>HYPERLINK("c:\users\omer\rl-qecc-data\reinforcementLearning\2026-08-02_14-39-04_1157123\experiment_6_6_seed_466555","experiment.txt")</f>
        <v/>
      </c>
    </row>
    <row r="27">
      <c r="G27" t="inlineStr">
        <is>
          <t>reinforcementlearning\2026-08-02_14-39-04_1157150</t>
        </is>
      </c>
      <c r="H27" t="inlineStr">
        <is>
          <t>c:/users/omer/rl-qecc-data/reinforcementLearning\2026-08-02_14-39-04_1157150</t>
        </is>
      </c>
      <c r="I27" t="n">
        <v>460101</v>
      </c>
      <c r="J27" t="inlineStr">
        <is>
          <t>6,6</t>
        </is>
      </c>
      <c r="K27" t="n">
        <v>12</v>
      </c>
      <c r="M27" t="inlineStr">
        <is>
          <t>hybrid</t>
        </is>
      </c>
      <c r="N27" t="inlineStr">
        <is>
          <t>Yes</t>
        </is>
      </c>
      <c r="O27" t="n">
        <v>0.1</v>
      </c>
      <c r="P27" t="n">
        <v>20</v>
      </c>
      <c r="Q27" t="inlineStr">
        <is>
          <t>sweep2/g5_ground_anch_H3_s54321.pth</t>
        </is>
      </c>
      <c r="R27" t="n">
        <v>0.03</v>
      </c>
      <c r="S27" t="inlineStr">
        <is>
          <t>Done</t>
        </is>
      </c>
      <c r="T27" t="n">
        <v>30</v>
      </c>
      <c r="V27">
        <f>HYPERLINK("c:\users\omer\rl-qecc-data\reinforcementLearning\2026-08-02_14-39-04_1157150\postProcessing.png","plot")</f>
        <v/>
      </c>
      <c r="W27">
        <f>HYPERLINK("c:\users\omer\rl-qecc-data\reinforcementLearning\2026-08-02_14-39-04_1157150\experiment_6_6_seed_460101","experiment.txt")</f>
        <v/>
      </c>
    </row>
    <row r="28">
      <c r="G28" t="inlineStr">
        <is>
          <t>reinforcementlearning\2026-08-02_14-39-04_1157180</t>
        </is>
      </c>
      <c r="H28" t="inlineStr">
        <is>
          <t>c:/users/omer/rl-qecc-data/reinforcementLearning\2026-08-02_14-39-04_1157180</t>
        </is>
      </c>
      <c r="I28" t="n">
        <v>7134066</v>
      </c>
      <c r="J28" t="inlineStr">
        <is>
          <t>6,6</t>
        </is>
      </c>
      <c r="K28" t="n">
        <v>12</v>
      </c>
      <c r="M28" t="inlineStr">
        <is>
          <t>hybrid</t>
        </is>
      </c>
      <c r="N28" t="inlineStr">
        <is>
          <t>Yes</t>
        </is>
      </c>
      <c r="O28" t="n">
        <v>0.1</v>
      </c>
      <c r="P28" t="n">
        <v>20</v>
      </c>
      <c r="Q28" t="inlineStr">
        <is>
          <t>sweep2/g5_ground_anch_H3_s54321.pth</t>
        </is>
      </c>
      <c r="R28" t="n">
        <v>0.03</v>
      </c>
      <c r="S28" t="inlineStr">
        <is>
          <t>Done</t>
        </is>
      </c>
      <c r="T28" t="n">
        <v>30</v>
      </c>
      <c r="V28">
        <f>HYPERLINK("c:\users\omer\rl-qecc-data\reinforcementLearning\2026-08-02_14-39-04_1157180\postProcessing.png","plot")</f>
        <v/>
      </c>
      <c r="W28">
        <f>HYPERLINK("c:\users\omer\rl-qecc-data\reinforcementLearning\2026-08-02_14-39-04_1157180\experiment_6_6_seed_7134066","experiment.txt")</f>
        <v/>
      </c>
    </row>
    <row r="29">
      <c r="G29" t="inlineStr">
        <is>
          <t>reinforcementlearning\2026-08-02_14-39-04_1157207</t>
        </is>
      </c>
      <c r="H29" t="inlineStr">
        <is>
          <t>c:/users/omer/rl-qecc-data/reinforcementLearning\2026-08-02_14-39-04_1157207</t>
        </is>
      </c>
      <c r="I29" t="n">
        <v>999</v>
      </c>
      <c r="J29" t="inlineStr">
        <is>
          <t>6,6</t>
        </is>
      </c>
      <c r="K29" t="n">
        <v>12</v>
      </c>
      <c r="M29" t="inlineStr">
        <is>
          <t>hybrid</t>
        </is>
      </c>
      <c r="N29" t="inlineStr">
        <is>
          <t>Yes</t>
        </is>
      </c>
      <c r="O29" t="n">
        <v>0.1</v>
      </c>
      <c r="P29" t="n">
        <v>20</v>
      </c>
      <c r="Q29" t="inlineStr">
        <is>
          <t>sweep2/g5_ground_anch_H3_s54321.pth</t>
        </is>
      </c>
      <c r="R29" t="n">
        <v>0.03</v>
      </c>
      <c r="S29" t="inlineStr">
        <is>
          <t>Done</t>
        </is>
      </c>
      <c r="T29" t="n">
        <v>30</v>
      </c>
      <c r="V29">
        <f>HYPERLINK("c:\users\omer\rl-qecc-data\reinforcementLearning\2026-08-02_14-39-04_1157207\postProcessing.png","plot")</f>
        <v/>
      </c>
      <c r="W29">
        <f>HYPERLINK("c:\users\omer\rl-qecc-data\reinforcementLearning\2026-08-02_14-39-04_1157207\experiment_6_6_seed_999","experiment.txt")</f>
        <v/>
      </c>
    </row>
    <row r="30">
      <c r="G30" t="inlineStr">
        <is>
          <t>reinforcementlearning\2026-08-02_14-39-04_1157237</t>
        </is>
      </c>
      <c r="H30" t="inlineStr">
        <is>
          <t>c:/users/omer/rl-qecc-data/reinforcementLearning\2026-08-02_14-39-04_1157237</t>
        </is>
      </c>
      <c r="I30" t="n">
        <v>67</v>
      </c>
      <c r="J30" t="inlineStr">
        <is>
          <t>6,6</t>
        </is>
      </c>
      <c r="K30" t="n">
        <v>12</v>
      </c>
      <c r="M30" t="inlineStr">
        <is>
          <t>hybrid</t>
        </is>
      </c>
      <c r="N30" t="inlineStr">
        <is>
          <t>Yes</t>
        </is>
      </c>
      <c r="O30" t="n">
        <v>0.1</v>
      </c>
      <c r="P30" t="n">
        <v>20</v>
      </c>
      <c r="Q30" t="inlineStr">
        <is>
          <t>sweep2/g5_ground_anch_H3_s54321.pth</t>
        </is>
      </c>
      <c r="R30" t="n">
        <v>0.03</v>
      </c>
      <c r="S30" t="inlineStr">
        <is>
          <t>Done</t>
        </is>
      </c>
      <c r="T30" t="n">
        <v>30</v>
      </c>
      <c r="V30">
        <f>HYPERLINK("c:\users\omer\rl-qecc-data\reinforcementLearning\2026-08-02_14-39-04_1157237\postProcessing.png","plot")</f>
        <v/>
      </c>
      <c r="W30">
        <f>HYPERLINK("c:\users\omer\rl-qecc-data\reinforcementLearning\2026-08-02_14-39-04_1157237\experiment_6_6_seed_67","experiment.txt")</f>
        <v/>
      </c>
    </row>
    <row r="31">
      <c r="G31" t="inlineStr">
        <is>
          <t>reinforcementlearning\2026-08-02_14-39-04_1628429</t>
        </is>
      </c>
      <c r="H31" t="inlineStr">
        <is>
          <t>c:/users/omer/rl-qecc-data/reinforcementLearning\2026-08-02_14-39-04_1628429</t>
        </is>
      </c>
      <c r="I31" t="n">
        <v>90210</v>
      </c>
      <c r="J31" t="inlineStr">
        <is>
          <t>6,6</t>
        </is>
      </c>
      <c r="K31" t="n">
        <v>12</v>
      </c>
      <c r="M31" t="inlineStr">
        <is>
          <t>hybrid</t>
        </is>
      </c>
      <c r="N31" t="inlineStr">
        <is>
          <t>Yes</t>
        </is>
      </c>
      <c r="O31" t="n">
        <v>0.1</v>
      </c>
      <c r="P31" t="n">
        <v>20</v>
      </c>
      <c r="Q31" t="inlineStr">
        <is>
          <t>sweep2/g5_mix_66_H3_s54321.pth</t>
        </is>
      </c>
      <c r="R31" t="n">
        <v>0.03</v>
      </c>
      <c r="S31" t="inlineStr">
        <is>
          <t>Done</t>
        </is>
      </c>
      <c r="T31" t="n">
        <v>30</v>
      </c>
      <c r="V31">
        <f>HYPERLINK("c:\users\omer\rl-qecc-data\reinforcementLearning\2026-08-02_14-39-04_1628429\postProcessing.png","plot")</f>
        <v/>
      </c>
      <c r="W31">
        <f>HYPERLINK("c:\users\omer\rl-qecc-data\reinforcementLearning\2026-08-02_14-39-04_1628429\experiment_6_6_seed_90210","experiment.txt")</f>
        <v/>
      </c>
    </row>
    <row r="32">
      <c r="G32" t="inlineStr">
        <is>
          <t>reinforcementlearning\2026-08-02_14-39-04_1628458</t>
        </is>
      </c>
      <c r="H32" t="inlineStr">
        <is>
          <t>c:/users/omer/rl-qecc-data/reinforcementLearning\2026-08-02_14-39-04_1628458</t>
        </is>
      </c>
      <c r="I32" t="n">
        <v>466555</v>
      </c>
      <c r="J32" t="inlineStr">
        <is>
          <t>6,6</t>
        </is>
      </c>
      <c r="K32" t="n">
        <v>12</v>
      </c>
      <c r="M32" t="inlineStr">
        <is>
          <t>hybrid</t>
        </is>
      </c>
      <c r="N32" t="inlineStr">
        <is>
          <t>Yes</t>
        </is>
      </c>
      <c r="O32" t="n">
        <v>0.1</v>
      </c>
      <c r="P32" t="n">
        <v>20</v>
      </c>
      <c r="Q32" t="inlineStr">
        <is>
          <t>sweep2/g5_mix_66_H3_s54321.pth</t>
        </is>
      </c>
      <c r="R32" t="n">
        <v>0.03</v>
      </c>
      <c r="S32" t="inlineStr">
        <is>
          <t>Done</t>
        </is>
      </c>
      <c r="T32" t="n">
        <v>30</v>
      </c>
      <c r="V32">
        <f>HYPERLINK("c:\users\omer\rl-qecc-data\reinforcementLearning\2026-08-02_14-39-04_1628458\postProcessing.png","plot")</f>
        <v/>
      </c>
      <c r="W32">
        <f>HYPERLINK("c:\users\omer\rl-qecc-data\reinforcementLearning\2026-08-02_14-39-04_1628458\experiment_6_6_seed_466555","experiment.txt")</f>
        <v/>
      </c>
    </row>
    <row r="33">
      <c r="G33" t="inlineStr">
        <is>
          <t>reinforcementlearning\2026-08-02_14-39-04_1628487</t>
        </is>
      </c>
      <c r="H33" t="inlineStr">
        <is>
          <t>c:/users/omer/rl-qecc-data/reinforcementLearning\2026-08-02_14-39-04_1628487</t>
        </is>
      </c>
      <c r="I33" t="n">
        <v>460101</v>
      </c>
      <c r="J33" t="inlineStr">
        <is>
          <t>6,6</t>
        </is>
      </c>
      <c r="K33" t="n">
        <v>12</v>
      </c>
      <c r="M33" t="inlineStr">
        <is>
          <t>hybrid</t>
        </is>
      </c>
      <c r="N33" t="inlineStr">
        <is>
          <t>Yes</t>
        </is>
      </c>
      <c r="O33" t="n">
        <v>0.1</v>
      </c>
      <c r="P33" t="n">
        <v>20</v>
      </c>
      <c r="Q33" t="inlineStr">
        <is>
          <t>sweep2/g5_mix_66_H3_s54321.pth</t>
        </is>
      </c>
      <c r="R33" t="n">
        <v>0.03</v>
      </c>
      <c r="S33" t="inlineStr">
        <is>
          <t>Done</t>
        </is>
      </c>
      <c r="T33" t="n">
        <v>30</v>
      </c>
      <c r="V33">
        <f>HYPERLINK("c:\users\omer\rl-qecc-data\reinforcementLearning\2026-08-02_14-39-04_1628487\postProcessing.png","plot")</f>
        <v/>
      </c>
      <c r="W33">
        <f>HYPERLINK("c:\users\omer\rl-qecc-data\reinforcementLearning\2026-08-02_14-39-04_1628487\experiment_6_6_seed_460101","experiment.txt")</f>
        <v/>
      </c>
    </row>
    <row r="34">
      <c r="G34" t="inlineStr">
        <is>
          <t>reinforcementlearning\2026-08-02_14-39-04_1628515</t>
        </is>
      </c>
      <c r="H34" t="inlineStr">
        <is>
          <t>c:/users/omer/rl-qecc-data/reinforcementLearning\2026-08-02_14-39-04_1628515</t>
        </is>
      </c>
      <c r="I34" t="n">
        <v>7134066</v>
      </c>
      <c r="J34" t="inlineStr">
        <is>
          <t>6,6</t>
        </is>
      </c>
      <c r="K34" t="n">
        <v>12</v>
      </c>
      <c r="M34" t="inlineStr">
        <is>
          <t>hybrid</t>
        </is>
      </c>
      <c r="N34" t="inlineStr">
        <is>
          <t>Yes</t>
        </is>
      </c>
      <c r="O34" t="n">
        <v>0.1</v>
      </c>
      <c r="P34" t="n">
        <v>20</v>
      </c>
      <c r="Q34" t="inlineStr">
        <is>
          <t>sweep2/g5_mix_66_H3_s54321.pth</t>
        </is>
      </c>
      <c r="R34" t="n">
        <v>0.03</v>
      </c>
      <c r="S34" t="inlineStr">
        <is>
          <t>Done</t>
        </is>
      </c>
      <c r="T34" t="n">
        <v>30</v>
      </c>
      <c r="V34">
        <f>HYPERLINK("c:\users\omer\rl-qecc-data\reinforcementLearning\2026-08-02_14-39-04_1628515\postProcessing.png","plot")</f>
        <v/>
      </c>
      <c r="W34">
        <f>HYPERLINK("c:\users\omer\rl-qecc-data\reinforcementLearning\2026-08-02_14-39-04_1628515\experiment_6_6_seed_7134066","experiment.txt")</f>
        <v/>
      </c>
    </row>
    <row r="35">
      <c r="G35" t="inlineStr">
        <is>
          <t>reinforcementlearning\2026-08-02_14-39-04_1628546</t>
        </is>
      </c>
      <c r="H35" t="inlineStr">
        <is>
          <t>c:/users/omer/rl-qecc-data/reinforcementLearning\2026-08-02_14-39-04_1628546</t>
        </is>
      </c>
      <c r="I35" t="n">
        <v>999</v>
      </c>
      <c r="J35" t="inlineStr">
        <is>
          <t>6,6</t>
        </is>
      </c>
      <c r="K35" t="n">
        <v>12</v>
      </c>
      <c r="M35" t="inlineStr">
        <is>
          <t>hybrid</t>
        </is>
      </c>
      <c r="N35" t="inlineStr">
        <is>
          <t>Yes</t>
        </is>
      </c>
      <c r="O35" t="n">
        <v>0.1</v>
      </c>
      <c r="P35" t="n">
        <v>20</v>
      </c>
      <c r="Q35" t="inlineStr">
        <is>
          <t>sweep2/g5_mix_66_H3_s54321.pth</t>
        </is>
      </c>
      <c r="R35" t="n">
        <v>0.03</v>
      </c>
      <c r="S35" t="inlineStr">
        <is>
          <t>Done</t>
        </is>
      </c>
      <c r="T35" t="n">
        <v>30</v>
      </c>
      <c r="V35">
        <f>HYPERLINK("c:\users\omer\rl-qecc-data\reinforcementLearning\2026-08-02_14-39-04_1628546\postProcessing.png","plot")</f>
        <v/>
      </c>
      <c r="W35">
        <f>HYPERLINK("c:\users\omer\rl-qecc-data\reinforcementLearning\2026-08-02_14-39-04_1628546\experiment_6_6_seed_999","experiment.txt")</f>
        <v/>
      </c>
    </row>
    <row r="36">
      <c r="G36" t="inlineStr">
        <is>
          <t>reinforcementlearning\2026-08-02_14-39-04_1628573</t>
        </is>
      </c>
      <c r="H36" t="inlineStr">
        <is>
          <t>c:/users/omer/rl-qecc-data/reinforcementLearning\2026-08-02_14-39-04_1628573</t>
        </is>
      </c>
      <c r="I36" t="n">
        <v>67</v>
      </c>
      <c r="J36" t="inlineStr">
        <is>
          <t>6,6</t>
        </is>
      </c>
      <c r="K36" t="n">
        <v>12</v>
      </c>
      <c r="M36" t="inlineStr">
        <is>
          <t>hybrid</t>
        </is>
      </c>
      <c r="N36" t="inlineStr">
        <is>
          <t>Yes</t>
        </is>
      </c>
      <c r="O36" t="n">
        <v>0.1</v>
      </c>
      <c r="P36" t="n">
        <v>20</v>
      </c>
      <c r="Q36" t="inlineStr">
        <is>
          <t>sweep2/g5_mix_66_H3_s54321.pth</t>
        </is>
      </c>
      <c r="R36" t="n">
        <v>0.03</v>
      </c>
      <c r="S36" t="inlineStr">
        <is>
          <t>Done</t>
        </is>
      </c>
      <c r="T36" t="n">
        <v>30</v>
      </c>
      <c r="V36">
        <f>HYPERLINK("c:\users\omer\rl-qecc-data\reinforcementLearning\2026-08-02_14-39-04_1628573\postProcessing.png","plot")</f>
        <v/>
      </c>
      <c r="W36">
        <f>HYPERLINK("c:\users\omer\rl-qecc-data\reinforcementLearning\2026-08-02_14-39-04_1628573\experiment_6_6_seed_67","experiment.txt")</f>
        <v/>
      </c>
    </row>
    <row r="37">
      <c r="G37" t="inlineStr">
        <is>
          <t>reinforcementlearning\2026-08-02_14-39-04_418166</t>
        </is>
      </c>
      <c r="H37" t="inlineStr">
        <is>
          <t>c:/users/omer/rl-qecc-data/reinforcementLearning\2026-08-02_14-39-04_418166</t>
        </is>
      </c>
      <c r="I37" t="n">
        <v>90210</v>
      </c>
      <c r="J37" t="inlineStr">
        <is>
          <t>6,6</t>
        </is>
      </c>
      <c r="K37" t="n">
        <v>12</v>
      </c>
      <c r="M37" t="inlineStr">
        <is>
          <t>hybrid</t>
        </is>
      </c>
      <c r="N37" t="inlineStr">
        <is>
          <t>Yes</t>
        </is>
      </c>
      <c r="O37" t="n">
        <v>0.1</v>
      </c>
      <c r="P37" t="n">
        <v>20</v>
      </c>
      <c r="Q37" t="inlineStr">
        <is>
          <t>sweep2/g5_ground_anch_H7_s466555.pth</t>
        </is>
      </c>
      <c r="R37" t="n">
        <v>0.03</v>
      </c>
      <c r="S37" t="inlineStr">
        <is>
          <t>Done</t>
        </is>
      </c>
      <c r="T37" t="n">
        <v>30</v>
      </c>
      <c r="V37">
        <f>HYPERLINK("c:\users\omer\rl-qecc-data\reinforcementLearning\2026-08-02_14-39-04_418166\postProcessing.png","plot")</f>
        <v/>
      </c>
      <c r="W37">
        <f>HYPERLINK("c:\users\omer\rl-qecc-data\reinforcementLearning\2026-08-02_14-39-04_418166\experiment_6_6_seed_90210","experiment.txt")</f>
        <v/>
      </c>
    </row>
    <row r="38">
      <c r="G38" t="inlineStr">
        <is>
          <t>reinforcementlearning\2026-08-02_14-39-04_418194</t>
        </is>
      </c>
      <c r="H38" t="inlineStr">
        <is>
          <t>c:/users/omer/rl-qecc-data/reinforcementLearning\2026-08-02_14-39-04_418194</t>
        </is>
      </c>
      <c r="I38" t="n">
        <v>466555</v>
      </c>
      <c r="J38" t="inlineStr">
        <is>
          <t>6,6</t>
        </is>
      </c>
      <c r="K38" t="n">
        <v>12</v>
      </c>
      <c r="M38" t="inlineStr">
        <is>
          <t>hybrid</t>
        </is>
      </c>
      <c r="N38" t="inlineStr">
        <is>
          <t>Yes</t>
        </is>
      </c>
      <c r="O38" t="n">
        <v>0.1</v>
      </c>
      <c r="P38" t="n">
        <v>20</v>
      </c>
      <c r="Q38" t="inlineStr">
        <is>
          <t>sweep2/g5_ground_anch_H7_s466555.pth</t>
        </is>
      </c>
      <c r="R38" t="n">
        <v>0.03</v>
      </c>
      <c r="S38" t="inlineStr">
        <is>
          <t>Done</t>
        </is>
      </c>
      <c r="T38" t="n">
        <v>30</v>
      </c>
      <c r="V38">
        <f>HYPERLINK("c:\users\omer\rl-qecc-data\reinforcementLearning\2026-08-02_14-39-04_418194\postProcessing.png","plot")</f>
        <v/>
      </c>
      <c r="W38">
        <f>HYPERLINK("c:\users\omer\rl-qecc-data\reinforcementLearning\2026-08-02_14-39-04_418194\experiment_6_6_seed_466555","experiment.txt")</f>
        <v/>
      </c>
    </row>
    <row r="39">
      <c r="G39" t="inlineStr">
        <is>
          <t>reinforcementlearning\2026-08-02_14-39-04_418220</t>
        </is>
      </c>
      <c r="H39" t="inlineStr">
        <is>
          <t>c:/users/omer/rl-qecc-data/reinforcementLearning\2026-08-02_14-39-04_418220</t>
        </is>
      </c>
      <c r="I39" t="n">
        <v>460101</v>
      </c>
      <c r="J39" t="inlineStr">
        <is>
          <t>6,6</t>
        </is>
      </c>
      <c r="K39" t="n">
        <v>12</v>
      </c>
      <c r="M39" t="inlineStr">
        <is>
          <t>hybrid</t>
        </is>
      </c>
      <c r="N39" t="inlineStr">
        <is>
          <t>Yes</t>
        </is>
      </c>
      <c r="O39" t="n">
        <v>0.1</v>
      </c>
      <c r="P39" t="n">
        <v>20</v>
      </c>
      <c r="Q39" t="inlineStr">
        <is>
          <t>sweep2/g5_ground_anch_H7_s466555.pth</t>
        </is>
      </c>
      <c r="R39" t="n">
        <v>0.03</v>
      </c>
      <c r="S39" t="inlineStr">
        <is>
          <t>Done</t>
        </is>
      </c>
      <c r="T39" t="n">
        <v>30</v>
      </c>
      <c r="V39">
        <f>HYPERLINK("c:\users\omer\rl-qecc-data\reinforcementLearning\2026-08-02_14-39-04_418220\postProcessing.png","plot")</f>
        <v/>
      </c>
      <c r="W39">
        <f>HYPERLINK("c:\users\omer\rl-qecc-data\reinforcementLearning\2026-08-02_14-39-04_418220\experiment_6_6_seed_460101","experiment.txt")</f>
        <v/>
      </c>
    </row>
    <row r="40">
      <c r="G40" t="inlineStr">
        <is>
          <t>reinforcementlearning\2026-08-02_14-39-04_418247</t>
        </is>
      </c>
      <c r="H40" t="inlineStr">
        <is>
          <t>c:/users/omer/rl-qecc-data/reinforcementLearning\2026-08-02_14-39-04_418247</t>
        </is>
      </c>
      <c r="I40" t="n">
        <v>7134066</v>
      </c>
      <c r="J40" t="inlineStr">
        <is>
          <t>6,6</t>
        </is>
      </c>
      <c r="K40" t="n">
        <v>12</v>
      </c>
      <c r="M40" t="inlineStr">
        <is>
          <t>hybrid</t>
        </is>
      </c>
      <c r="N40" t="inlineStr">
        <is>
          <t>Yes</t>
        </is>
      </c>
      <c r="O40" t="n">
        <v>0.1</v>
      </c>
      <c r="P40" t="n">
        <v>20</v>
      </c>
      <c r="Q40" t="inlineStr">
        <is>
          <t>sweep2/g5_ground_anch_H7_s466555.pth</t>
        </is>
      </c>
      <c r="R40" t="n">
        <v>0.03</v>
      </c>
      <c r="S40" t="inlineStr">
        <is>
          <t>Done</t>
        </is>
      </c>
      <c r="T40" t="n">
        <v>30</v>
      </c>
      <c r="V40">
        <f>HYPERLINK("c:\users\omer\rl-qecc-data\reinforcementLearning\2026-08-02_14-39-04_418247\postProcessing.png","plot")</f>
        <v/>
      </c>
      <c r="W40">
        <f>HYPERLINK("c:\users\omer\rl-qecc-data\reinforcementLearning\2026-08-02_14-39-04_418247\experiment_6_6_seed_7134066","experiment.txt")</f>
        <v/>
      </c>
    </row>
    <row r="41">
      <c r="G41" t="inlineStr">
        <is>
          <t>reinforcementlearning\2026-08-02_14-39-04_418276</t>
        </is>
      </c>
      <c r="H41" t="inlineStr">
        <is>
          <t>c:/users/omer/rl-qecc-data/reinforcementLearning\2026-08-02_14-39-04_418276</t>
        </is>
      </c>
      <c r="I41" t="n">
        <v>999</v>
      </c>
      <c r="J41" t="inlineStr">
        <is>
          <t>6,6</t>
        </is>
      </c>
      <c r="K41" t="n">
        <v>12</v>
      </c>
      <c r="M41" t="inlineStr">
        <is>
          <t>hybrid</t>
        </is>
      </c>
      <c r="N41" t="inlineStr">
        <is>
          <t>Yes</t>
        </is>
      </c>
      <c r="O41" t="n">
        <v>0.1</v>
      </c>
      <c r="P41" t="n">
        <v>20</v>
      </c>
      <c r="Q41" t="inlineStr">
        <is>
          <t>sweep2/g5_ground_anch_H7_s466555.pth</t>
        </is>
      </c>
      <c r="R41" t="n">
        <v>0.03</v>
      </c>
      <c r="S41" t="inlineStr">
        <is>
          <t>Done</t>
        </is>
      </c>
      <c r="T41" t="n">
        <v>30</v>
      </c>
      <c r="V41">
        <f>HYPERLINK("c:\users\omer\rl-qecc-data\reinforcementLearning\2026-08-02_14-39-04_418276\postProcessing.png","plot")</f>
        <v/>
      </c>
      <c r="W41">
        <f>HYPERLINK("c:\users\omer\rl-qecc-data\reinforcementLearning\2026-08-02_14-39-04_418276\experiment_6_6_seed_999","experiment.txt")</f>
        <v/>
      </c>
    </row>
    <row r="42">
      <c r="G42" t="inlineStr">
        <is>
          <t>reinforcementlearning\2026-08-02_14-39-04_418305</t>
        </is>
      </c>
      <c r="H42" t="inlineStr">
        <is>
          <t>c:/users/omer/rl-qecc-data/reinforcementLearning\2026-08-02_14-39-04_418305</t>
        </is>
      </c>
      <c r="I42" t="n">
        <v>67</v>
      </c>
      <c r="J42" t="inlineStr">
        <is>
          <t>6,6</t>
        </is>
      </c>
      <c r="K42" t="n">
        <v>12</v>
      </c>
      <c r="M42" t="inlineStr">
        <is>
          <t>hybrid</t>
        </is>
      </c>
      <c r="N42" t="inlineStr">
        <is>
          <t>Yes</t>
        </is>
      </c>
      <c r="O42" t="n">
        <v>0.1</v>
      </c>
      <c r="P42" t="n">
        <v>20</v>
      </c>
      <c r="Q42" t="inlineStr">
        <is>
          <t>sweep2/g5_ground_anch_H7_s466555.pth</t>
        </is>
      </c>
      <c r="R42" t="n">
        <v>0.03</v>
      </c>
      <c r="S42" t="inlineStr">
        <is>
          <t>Done</t>
        </is>
      </c>
      <c r="T42" t="n">
        <v>30</v>
      </c>
      <c r="V42">
        <f>HYPERLINK("c:\users\omer\rl-qecc-data\reinforcementLearning\2026-08-02_14-39-04_418305\postProcessing.png","plot")</f>
        <v/>
      </c>
      <c r="W42">
        <f>HYPERLINK("c:\users\omer\rl-qecc-data\reinforcementLearning\2026-08-02_14-39-04_418305\experiment_6_6_seed_67","experiment.txt")</f>
        <v/>
      </c>
    </row>
    <row r="43">
      <c r="G43" t="inlineStr">
        <is>
          <t>reinforcementlearning\2026-08-02_21-18-53_453521</t>
        </is>
      </c>
      <c r="H43" t="inlineStr">
        <is>
          <t>c:/users/omer/rl-qecc-data/reinforcementLearning\2026-08-02_21-18-53_453521</t>
        </is>
      </c>
      <c r="I43" t="n">
        <v>90210</v>
      </c>
      <c r="J43" t="inlineStr">
        <is>
          <t>6,6</t>
        </is>
      </c>
      <c r="K43" t="n">
        <v>12</v>
      </c>
      <c r="M43" t="inlineStr">
        <is>
          <t>hybrid</t>
        </is>
      </c>
      <c r="N43" t="inlineStr">
        <is>
          <t>Yes</t>
        </is>
      </c>
      <c r="O43" t="n">
        <v>0.1</v>
      </c>
      <c r="P43" t="n">
        <v>20</v>
      </c>
      <c r="Q43" t="inlineStr">
        <is>
          <t>sweep2/g5_ground_anch_H7_s54321.pth</t>
        </is>
      </c>
      <c r="R43" t="n">
        <v>0.03</v>
      </c>
      <c r="S43" t="inlineStr">
        <is>
          <t>Done</t>
        </is>
      </c>
      <c r="T43" t="n">
        <v>30</v>
      </c>
      <c r="V43">
        <f>HYPERLINK("c:\users\omer\rl-qecc-data\reinforcementLearning\2026-08-02_21-18-53_453521\postProcessing.png","plot")</f>
        <v/>
      </c>
      <c r="W43">
        <f>HYPERLINK("c:\users\omer\rl-qecc-data\reinforcementLearning\2026-08-02_21-18-53_453521\experiment_6_6_seed_90210","experiment.txt")</f>
        <v/>
      </c>
    </row>
    <row r="44">
      <c r="G44" t="inlineStr">
        <is>
          <t>reinforcementlearning\2026-08-02_21-18-53_453549</t>
        </is>
      </c>
      <c r="H44" t="inlineStr">
        <is>
          <t>c:/users/omer/rl-qecc-data/reinforcementLearning\2026-08-02_21-18-53_453549</t>
        </is>
      </c>
      <c r="I44" t="n">
        <v>466555</v>
      </c>
      <c r="J44" t="inlineStr">
        <is>
          <t>6,6</t>
        </is>
      </c>
      <c r="K44" t="n">
        <v>12</v>
      </c>
      <c r="M44" t="inlineStr">
        <is>
          <t>hybrid</t>
        </is>
      </c>
      <c r="N44" t="inlineStr">
        <is>
          <t>Yes</t>
        </is>
      </c>
      <c r="O44" t="n">
        <v>0.1</v>
      </c>
      <c r="P44" t="n">
        <v>20</v>
      </c>
      <c r="Q44" t="inlineStr">
        <is>
          <t>sweep2/g5_ground_anch_H7_s54321.pth</t>
        </is>
      </c>
      <c r="R44" t="n">
        <v>0.03</v>
      </c>
      <c r="S44" t="inlineStr">
        <is>
          <t>Done</t>
        </is>
      </c>
      <c r="T44" t="n">
        <v>30</v>
      </c>
      <c r="V44">
        <f>HYPERLINK("c:\users\omer\rl-qecc-data\reinforcementLearning\2026-08-02_21-18-53_453549\postProcessing.png","plot")</f>
        <v/>
      </c>
      <c r="W44">
        <f>HYPERLINK("c:\users\omer\rl-qecc-data\reinforcementLearning\2026-08-02_21-18-53_453549\experiment_6_6_seed_466555","experiment.txt")</f>
        <v/>
      </c>
    </row>
    <row r="45">
      <c r="G45" t="inlineStr">
        <is>
          <t>reinforcementlearning\2026-08-02_21-18-53_453576</t>
        </is>
      </c>
      <c r="H45" t="inlineStr">
        <is>
          <t>c:/users/omer/rl-qecc-data/reinforcementLearning\2026-08-02_21-18-53_453576</t>
        </is>
      </c>
      <c r="I45" t="n">
        <v>460101</v>
      </c>
      <c r="J45" t="inlineStr">
        <is>
          <t>6,6</t>
        </is>
      </c>
      <c r="K45" t="n">
        <v>12</v>
      </c>
      <c r="M45" t="inlineStr">
        <is>
          <t>hybrid</t>
        </is>
      </c>
      <c r="N45" t="inlineStr">
        <is>
          <t>Yes</t>
        </is>
      </c>
      <c r="O45" t="n">
        <v>0.1</v>
      </c>
      <c r="P45" t="n">
        <v>20</v>
      </c>
      <c r="Q45" t="inlineStr">
        <is>
          <t>sweep2/g5_ground_anch_H7_s54321.pth</t>
        </is>
      </c>
      <c r="R45" t="n">
        <v>0.03</v>
      </c>
      <c r="S45" t="inlineStr">
        <is>
          <t>Done</t>
        </is>
      </c>
      <c r="T45" t="n">
        <v>30</v>
      </c>
      <c r="V45">
        <f>HYPERLINK("c:\users\omer\rl-qecc-data\reinforcementLearning\2026-08-02_21-18-53_453576\postProcessing.png","plot")</f>
        <v/>
      </c>
      <c r="W45">
        <f>HYPERLINK("c:\users\omer\rl-qecc-data\reinforcementLearning\2026-08-02_21-18-53_453576\experiment_6_6_seed_460101","experiment.txt")</f>
        <v/>
      </c>
    </row>
    <row r="46">
      <c r="G46" t="inlineStr">
        <is>
          <t>reinforcementlearning\2026-08-02_21-18-53_453605</t>
        </is>
      </c>
      <c r="H46" t="inlineStr">
        <is>
          <t>c:/users/omer/rl-qecc-data/reinforcementLearning\2026-08-02_21-18-53_453605</t>
        </is>
      </c>
      <c r="I46" t="n">
        <v>7134066</v>
      </c>
      <c r="J46" t="inlineStr">
        <is>
          <t>6,6</t>
        </is>
      </c>
      <c r="K46" t="n">
        <v>12</v>
      </c>
      <c r="M46" t="inlineStr">
        <is>
          <t>hybrid</t>
        </is>
      </c>
      <c r="N46" t="inlineStr">
        <is>
          <t>Yes</t>
        </is>
      </c>
      <c r="O46" t="n">
        <v>0.1</v>
      </c>
      <c r="P46" t="n">
        <v>20</v>
      </c>
      <c r="Q46" t="inlineStr">
        <is>
          <t>sweep2/g5_ground_anch_H7_s54321.pth</t>
        </is>
      </c>
      <c r="R46" t="n">
        <v>0.03</v>
      </c>
      <c r="S46" t="inlineStr">
        <is>
          <t>Done</t>
        </is>
      </c>
      <c r="T46" t="n">
        <v>30</v>
      </c>
      <c r="V46">
        <f>HYPERLINK("c:\users\omer\rl-qecc-data\reinforcementLearning\2026-08-02_21-18-53_453605\postProcessing.png","plot")</f>
        <v/>
      </c>
      <c r="W46">
        <f>HYPERLINK("c:\users\omer\rl-qecc-data\reinforcementLearning\2026-08-02_21-18-53_453605\experiment_6_6_seed_7134066","experiment.txt")</f>
        <v/>
      </c>
    </row>
    <row r="47">
      <c r="G47" t="inlineStr">
        <is>
          <t>reinforcementlearning\2026-08-02_21-18-53_453631</t>
        </is>
      </c>
      <c r="H47" t="inlineStr">
        <is>
          <t>c:/users/omer/rl-qecc-data/reinforcementLearning\2026-08-02_21-18-53_453631</t>
        </is>
      </c>
      <c r="I47" t="n">
        <v>999</v>
      </c>
      <c r="J47" t="inlineStr">
        <is>
          <t>6,6</t>
        </is>
      </c>
      <c r="K47" t="n">
        <v>12</v>
      </c>
      <c r="M47" t="inlineStr">
        <is>
          <t>hybrid</t>
        </is>
      </c>
      <c r="N47" t="inlineStr">
        <is>
          <t>Yes</t>
        </is>
      </c>
      <c r="O47" t="n">
        <v>0.1</v>
      </c>
      <c r="P47" t="n">
        <v>20</v>
      </c>
      <c r="Q47" t="inlineStr">
        <is>
          <t>sweep2/g5_ground_anch_H7_s54321.pth</t>
        </is>
      </c>
      <c r="R47" t="n">
        <v>0.03</v>
      </c>
      <c r="S47" t="inlineStr">
        <is>
          <t>Done</t>
        </is>
      </c>
      <c r="T47" t="n">
        <v>30</v>
      </c>
      <c r="V47">
        <f>HYPERLINK("c:\users\omer\rl-qecc-data\reinforcementLearning\2026-08-02_21-18-53_453631\postProcessing.png","plot")</f>
        <v/>
      </c>
      <c r="W47">
        <f>HYPERLINK("c:\users\omer\rl-qecc-data\reinforcementLearning\2026-08-02_21-18-53_453631\experiment_6_6_seed_999","experiment.txt")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Omer Sella</dc:creator>
  <dcterms:created xsi:type="dcterms:W3CDTF">2026-07-14T21:04:19Z</dcterms:created>
  <dcterms:modified xsi:type="dcterms:W3CDTF">2026-08-15T20:58:48Z</dcterms:modified>
  <cp:lastModifiedBy>Omer Sella</cp:lastModifiedBy>
</cp:coreProperties>
</file>