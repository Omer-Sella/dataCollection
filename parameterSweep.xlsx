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8" yWindow="-118" windowWidth="45269" windowHeight="18367" tabRatio="600" firstSheet="0" activeTab="1" autoFilterDateGrouping="1"/>
  </bookViews>
  <sheets>
    <sheet name="Investigation into encoder arch" sheetId="1" state="visible" r:id="rId1"/>
    <sheet name="allData" sheetId="2" state="visible" r:id="rId2"/>
    <sheet name="old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6"/>
      <scheme val="minor"/>
    </font>
    <font>
      <name val="Aptos"/>
      <family val="2"/>
      <color theme="1"/>
      <sz val="16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2" fillId="2" borderId="4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1" fillId="2" borderId="0" pivotButton="0" quotePrefix="0" xfId="0"/>
    <xf numFmtId="0" fontId="1" fillId="3" borderId="0" pivotButton="0" quotePrefix="0" xfId="0"/>
    <xf numFmtId="0" fontId="2" fillId="3" borderId="3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1" fillId="4" borderId="0" pivotButton="0" quotePrefix="0" xfId="0"/>
    <xf numFmtId="0" fontId="2" fillId="4" borderId="3" applyAlignment="1" pivotButton="0" quotePrefix="0" xfId="0">
      <alignment vertical="center" wrapText="1"/>
    </xf>
    <xf numFmtId="0" fontId="2" fillId="4" borderId="4" applyAlignment="1" pivotButton="0" quotePrefix="0" xfId="0">
      <alignment vertical="center" wrapText="1"/>
    </xf>
    <xf numFmtId="0" fontId="2" fillId="5" borderId="4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W28"/>
  <sheetViews>
    <sheetView topLeftCell="L1" zoomScale="70" zoomScaleNormal="70" workbookViewId="0">
      <selection activeCell="H1" sqref="H1:U1"/>
    </sheetView>
  </sheetViews>
  <sheetFormatPr baseColWidth="8" defaultRowHeight="20.95"/>
  <cols>
    <col width="8.88671875" customWidth="1" style="1" min="1" max="6"/>
    <col width="5.5546875" customWidth="1" style="1" min="7" max="7"/>
    <col width="85.21875" customWidth="1" style="1" min="8" max="8"/>
    <col width="9.88671875" bestFit="1" customWidth="1" style="1" min="9" max="9"/>
    <col width="8.88671875" customWidth="1" style="1" min="10" max="10"/>
    <col width="31.21875" customWidth="1" style="1" min="11" max="11"/>
    <col width="32.44140625" customWidth="1" style="1" min="12" max="12"/>
    <col width="32.77734375" customWidth="1" style="1" min="13" max="15"/>
    <col width="29.6640625" customWidth="1" style="1" min="16" max="16"/>
    <col width="28.77734375" customWidth="1" style="1" min="17" max="17"/>
    <col width="24.77734375" customWidth="1" style="1" min="18" max="18"/>
    <col width="23.109375" customWidth="1" style="1" min="19" max="19"/>
    <col width="27.21875" customWidth="1" style="1" min="20" max="20"/>
    <col width="17.33203125" customWidth="1" style="1" min="21" max="21"/>
    <col width="30.109375" bestFit="1" customWidth="1" style="1" min="22" max="22"/>
    <col width="19.44140625" bestFit="1" customWidth="1" style="1" min="23" max="23"/>
    <col width="8.88671875" customWidth="1" style="1" min="24" max="26"/>
    <col width="8.88671875" customWidth="1" style="1" min="27" max="16384"/>
  </cols>
  <sheetData>
    <row r="1" ht="42.55" customHeight="1" thickBot="1">
      <c r="H1" s="1" t="inlineStr">
        <is>
          <t>Job name / folder name</t>
        </is>
      </c>
      <c r="I1" s="2" t="inlineStr">
        <is>
          <t>Seed</t>
        </is>
      </c>
      <c r="J1" s="3" t="inlineStr">
        <is>
          <t>Code</t>
        </is>
      </c>
      <c r="K1" s="3" t="inlineStr">
        <is>
          <t>Number of qubits</t>
        </is>
      </c>
      <c r="L1" s="3" t="n"/>
      <c r="M1" s="3" t="inlineStr">
        <is>
          <t>Network architecture</t>
        </is>
      </c>
      <c r="N1" s="3" t="inlineStr">
        <is>
          <t>Use pretrained encoder</t>
        </is>
      </c>
      <c r="O1" s="3" t="inlineStr">
        <is>
          <t>Encoder lr factor</t>
        </is>
      </c>
      <c r="P1" s="3" t="inlineStr">
        <is>
          <t>Freeze until ?</t>
        </is>
      </c>
      <c r="Q1" s="3" t="inlineStr">
        <is>
          <t>Encoder</t>
        </is>
      </c>
      <c r="R1" s="3" t="inlineStr">
        <is>
          <t>Entropy eps</t>
        </is>
      </c>
      <c r="S1" s="3" t="inlineStr">
        <is>
          <t>Running / processed</t>
        </is>
      </c>
      <c r="T1" s="3" t="inlineStr">
        <is>
          <t>Is good ?</t>
        </is>
      </c>
      <c r="U1" s="4" t="inlineStr">
        <is>
          <t>Comments</t>
        </is>
      </c>
      <c r="V1" t="inlineStr">
        <is>
          <t>Plot</t>
        </is>
      </c>
      <c r="W1" t="inlineStr">
        <is>
          <t>Data</t>
        </is>
      </c>
    </row>
    <row r="2" ht="42.55" customHeight="1" thickBot="1">
      <c r="H2" s="9" t="inlineStr">
        <is>
          <t>C:\Users\Omer\rl-qecc-data\2026-07-15_06-24-42</t>
        </is>
      </c>
      <c r="I2" s="8" t="n">
        <v>460101</v>
      </c>
      <c r="J2" s="7" t="inlineStr">
        <is>
          <t>9,6</t>
        </is>
      </c>
      <c r="K2" s="7" t="n">
        <v>8</v>
      </c>
      <c r="L2" s="7" t="n"/>
      <c r="M2" s="7" t="inlineStr">
        <is>
          <t>Hybrid</t>
        </is>
      </c>
      <c r="N2" s="7" t="n"/>
      <c r="O2" s="7" t="n"/>
      <c r="P2" s="7" t="n"/>
      <c r="Q2" s="7" t="inlineStr">
        <is>
          <t>2026-07-12_20-18-32/surrogate_6x6.pth</t>
        </is>
      </c>
      <c r="R2" s="7" t="n">
        <v>0.003</v>
      </c>
      <c r="S2" s="7" t="inlineStr">
        <is>
          <t>Done</t>
        </is>
      </c>
      <c r="T2" s="7" t="inlineStr">
        <is>
          <t>Yes</t>
        </is>
      </c>
    </row>
    <row r="3" ht="42.55" customHeight="1" thickBot="1">
      <c r="H3" s="9" t="inlineStr">
        <is>
          <t>C:\Users\Omer\rl-qecc-data\2026-07-14_22-01-03</t>
        </is>
      </c>
      <c r="I3" s="8" t="n">
        <v>232323</v>
      </c>
      <c r="J3" s="7" t="inlineStr">
        <is>
          <t>9,6</t>
        </is>
      </c>
      <c r="K3" s="7" t="n">
        <v>8</v>
      </c>
      <c r="L3" s="7" t="n"/>
      <c r="M3" s="7" t="inlineStr">
        <is>
          <t>hybrid</t>
        </is>
      </c>
      <c r="N3" s="7" t="n"/>
      <c r="O3" s="7" t="n"/>
      <c r="P3" s="7" t="n"/>
      <c r="Q3" s="7" t="inlineStr">
        <is>
          <t>2026-07-12_20-18-32/surrogate_6x6.pth</t>
        </is>
      </c>
      <c r="R3" s="7" t="n">
        <v>0.003</v>
      </c>
      <c r="S3" s="7" t="inlineStr">
        <is>
          <t>Done</t>
        </is>
      </c>
      <c r="T3" s="7" t="inlineStr">
        <is>
          <t>Yes</t>
        </is>
      </c>
    </row>
    <row r="4" ht="42.55" customHeight="1" thickBot="1">
      <c r="H4" s="9" t="inlineStr">
        <is>
          <t>C:\Users\Omer\rl-qecc-data\2026-07-14_21-58-14</t>
        </is>
      </c>
      <c r="I4" s="8" t="n">
        <v>111</v>
      </c>
      <c r="J4" s="7" t="inlineStr">
        <is>
          <t>9,6</t>
        </is>
      </c>
      <c r="K4" s="7" t="n">
        <v>8</v>
      </c>
      <c r="L4" s="7" t="n"/>
      <c r="M4" s="7" t="inlineStr">
        <is>
          <t>Hybrid</t>
        </is>
      </c>
      <c r="N4" s="7" t="n"/>
      <c r="O4" s="7" t="n"/>
      <c r="P4" s="7" t="n"/>
      <c r="Q4" s="7" t="inlineStr">
        <is>
          <t>2026-07-12_20-18-32/surrogate_6x6.pth</t>
        </is>
      </c>
      <c r="R4" s="7" t="n">
        <v>0.003</v>
      </c>
      <c r="S4" s="7" t="inlineStr">
        <is>
          <t>Done</t>
        </is>
      </c>
      <c r="T4" s="7" t="inlineStr">
        <is>
          <t>Yes</t>
        </is>
      </c>
    </row>
    <row r="5" ht="42.55" customHeight="1" thickBot="1">
      <c r="H5" s="7" t="inlineStr">
        <is>
          <t>C:\Users\Omer\rl-qecc-data\2026-07-14_21-41-33</t>
        </is>
      </c>
      <c r="I5" s="8" t="n">
        <v>2</v>
      </c>
      <c r="J5" s="7" t="inlineStr">
        <is>
          <t>9,6</t>
        </is>
      </c>
      <c r="K5" s="7" t="n">
        <v>8</v>
      </c>
      <c r="L5" s="7" t="n"/>
      <c r="M5" s="7" t="inlineStr">
        <is>
          <t>hybrid</t>
        </is>
      </c>
      <c r="N5" s="7" t="n"/>
      <c r="O5" s="7" t="n"/>
      <c r="P5" s="7" t="n"/>
      <c r="Q5" s="7" t="inlineStr">
        <is>
          <t>2026-07-12_20-18-32/surrogate_6x6.pth</t>
        </is>
      </c>
      <c r="R5" s="7" t="n">
        <v>0.003</v>
      </c>
      <c r="S5" s="7" t="inlineStr">
        <is>
          <t>Done</t>
        </is>
      </c>
      <c r="T5" s="9" t="inlineStr">
        <is>
          <t>Yes</t>
        </is>
      </c>
    </row>
    <row r="6" ht="42.55" customHeight="1" thickBot="1">
      <c r="H6" s="9" t="inlineStr">
        <is>
          <t>C:\Users\Omer\rl-qecc-data\2026-07-14_21-42-45</t>
        </is>
      </c>
      <c r="I6" s="8" t="n">
        <v>90210</v>
      </c>
      <c r="J6" s="7" t="inlineStr">
        <is>
          <t>9,6</t>
        </is>
      </c>
      <c r="K6" s="7" t="n">
        <v>8</v>
      </c>
      <c r="L6" s="7" t="n"/>
      <c r="M6" s="7" t="inlineStr">
        <is>
          <t>Hybrid</t>
        </is>
      </c>
      <c r="N6" s="7" t="n"/>
      <c r="O6" s="7" t="n"/>
      <c r="P6" s="7" t="n"/>
      <c r="Q6" s="7" t="inlineStr">
        <is>
          <t>2026-07-12_20-18-32/surrogate_6x6.pth</t>
        </is>
      </c>
      <c r="R6" s="7" t="n">
        <v>0.003</v>
      </c>
      <c r="S6" s="7" t="inlineStr">
        <is>
          <t>Done</t>
        </is>
      </c>
      <c r="T6" s="7" t="inlineStr">
        <is>
          <t>Yes</t>
        </is>
      </c>
    </row>
    <row r="7" ht="42.55" customHeight="1" thickBot="1">
      <c r="H7" s="9" t="inlineStr">
        <is>
          <t>C:\Users\Omer\rl-qecc-data\2026-07-14_21-42-52</t>
        </is>
      </c>
      <c r="I7" s="8" t="n">
        <v>466555</v>
      </c>
      <c r="J7" s="7" t="inlineStr">
        <is>
          <t>9,6</t>
        </is>
      </c>
      <c r="K7" s="7" t="n">
        <v>8</v>
      </c>
      <c r="L7" s="7" t="n"/>
      <c r="M7" s="7" t="inlineStr">
        <is>
          <t>hybrid</t>
        </is>
      </c>
      <c r="N7" s="7" t="n"/>
      <c r="O7" s="7" t="n"/>
      <c r="P7" s="7" t="n"/>
      <c r="Q7" s="7" t="inlineStr">
        <is>
          <t>2026-07-12_20-18-32/surrogate_6x6.pth</t>
        </is>
      </c>
      <c r="R7" s="7" t="n">
        <v>0.003</v>
      </c>
      <c r="S7" s="7" t="inlineStr">
        <is>
          <t>Done</t>
        </is>
      </c>
      <c r="T7" s="7" t="inlineStr">
        <is>
          <t>Yes</t>
        </is>
      </c>
    </row>
    <row r="8" ht="42.55" customHeight="1" thickBot="1">
      <c r="H8" s="9" t="n"/>
      <c r="I8" s="8" t="n">
        <v>101010</v>
      </c>
      <c r="J8" s="7" t="inlineStr">
        <is>
          <t>9,6</t>
        </is>
      </c>
      <c r="K8" s="7" t="n">
        <v>8</v>
      </c>
      <c r="L8" s="7" t="n"/>
      <c r="M8" s="7" t="inlineStr">
        <is>
          <t>Hybrid</t>
        </is>
      </c>
      <c r="N8" s="7" t="n"/>
      <c r="O8" s="7" t="n"/>
      <c r="P8" s="7" t="n"/>
      <c r="Q8" s="7" t="inlineStr">
        <is>
          <t>2026-07-12_21-15-58/surrogate_6x6.pth</t>
        </is>
      </c>
      <c r="R8" s="7" t="n">
        <v>0.003</v>
      </c>
      <c r="S8" s="7" t="inlineStr">
        <is>
          <t>Done</t>
        </is>
      </c>
      <c r="T8" s="7" t="inlineStr">
        <is>
          <t>Yes</t>
        </is>
      </c>
    </row>
    <row r="9" ht="42.55" customHeight="1" thickBot="1">
      <c r="H9" s="9" t="inlineStr">
        <is>
          <t>C:\Users\Omer\rl-qecc-data\2026-07-14_23-23-00</t>
        </is>
      </c>
      <c r="I9" s="8" t="n">
        <v>123456</v>
      </c>
      <c r="J9" s="7" t="inlineStr">
        <is>
          <t>9,6</t>
        </is>
      </c>
      <c r="K9" s="7" t="n">
        <v>8</v>
      </c>
      <c r="L9" s="7" t="n"/>
      <c r="M9" s="7" t="inlineStr">
        <is>
          <t>hybrid</t>
        </is>
      </c>
      <c r="N9" s="7" t="n"/>
      <c r="O9" s="7" t="n"/>
      <c r="P9" s="7" t="n"/>
      <c r="Q9" s="7" t="inlineStr">
        <is>
          <t>2026-07-12_21-15-58/surrogate_6x6.pth</t>
        </is>
      </c>
      <c r="R9" s="7" t="n">
        <v>0.003</v>
      </c>
      <c r="S9" s="7" t="inlineStr">
        <is>
          <t>Done</t>
        </is>
      </c>
      <c r="T9" s="7" t="inlineStr">
        <is>
          <t>Yes</t>
        </is>
      </c>
    </row>
    <row r="10" ht="42.55" customHeight="1" thickBot="1">
      <c r="H10" s="10" t="inlineStr">
        <is>
          <t>C:\Users\Omer\rl-qecc-data\2026-07-15_13-49-55</t>
        </is>
      </c>
      <c r="I10" s="11" t="n">
        <v>232323</v>
      </c>
      <c r="J10" s="12" t="inlineStr">
        <is>
          <t>9,6</t>
        </is>
      </c>
      <c r="K10" s="12" t="n">
        <v>8</v>
      </c>
      <c r="L10" s="12" t="n"/>
      <c r="M10" s="12" t="inlineStr">
        <is>
          <t>Hybrid</t>
        </is>
      </c>
      <c r="N10" s="12" t="n"/>
      <c r="O10" s="12" t="n"/>
      <c r="P10" s="12" t="n"/>
      <c r="Q10" s="12" t="inlineStr">
        <is>
          <t>2026-07-12_21-15-58/surrogate_6x6.pth</t>
        </is>
      </c>
      <c r="R10" s="12" t="n">
        <v>0.003</v>
      </c>
      <c r="S10" s="12" t="inlineStr">
        <is>
          <t>Done</t>
        </is>
      </c>
      <c r="T10" s="12" t="inlineStr">
        <is>
          <t>Not great</t>
        </is>
      </c>
      <c r="U10" s="1" t="inlineStr">
        <is>
          <t>Flat</t>
        </is>
      </c>
    </row>
    <row r="11" ht="42.55" customHeight="1" thickBot="1">
      <c r="H11" s="9" t="inlineStr">
        <is>
          <t>C:\Users\Omer\rl-qecc-data\2026-07-15_15-19-50_184940</t>
        </is>
      </c>
      <c r="I11" s="8" t="n">
        <v>111</v>
      </c>
      <c r="J11" s="7" t="inlineStr">
        <is>
          <t>9,6</t>
        </is>
      </c>
      <c r="K11" s="7" t="n">
        <v>8</v>
      </c>
      <c r="L11" s="7" t="n"/>
      <c r="M11" s="7" t="inlineStr">
        <is>
          <t>hybrid</t>
        </is>
      </c>
      <c r="N11" s="7" t="n"/>
      <c r="O11" s="7" t="n"/>
      <c r="P11" s="7" t="n">
        <v>10</v>
      </c>
      <c r="Q11" s="7" t="inlineStr">
        <is>
          <t>2026-07-12_21-15-58/surrogate_6x6.pth</t>
        </is>
      </c>
      <c r="R11" s="7" t="n">
        <v>0.003</v>
      </c>
      <c r="S11" s="7" t="n"/>
      <c r="T11" s="7" t="n"/>
    </row>
    <row r="12" ht="42.55" customHeight="1" thickBot="1">
      <c r="H12" s="1" t="inlineStr">
        <is>
          <t>C:\Users\Omer\rl-qecc-data\2026-07-15_15-53-06_3953074</t>
        </is>
      </c>
      <c r="I12" s="5" t="n">
        <v>2</v>
      </c>
      <c r="J12" s="6" t="inlineStr">
        <is>
          <t>9,6</t>
        </is>
      </c>
      <c r="K12" s="6" t="n">
        <v>8</v>
      </c>
      <c r="L12" s="6" t="n"/>
      <c r="M12" s="6" t="inlineStr">
        <is>
          <t>Hybrid</t>
        </is>
      </c>
      <c r="N12" s="6" t="n"/>
      <c r="O12" s="6" t="n"/>
      <c r="P12" s="6" t="n">
        <v>10</v>
      </c>
      <c r="Q12" s="6" t="inlineStr">
        <is>
          <t>2026-07-12_21-15-58/surrogate_6x6.pth</t>
        </is>
      </c>
      <c r="R12" s="6" t="n">
        <v>0.003</v>
      </c>
      <c r="S12" s="6" t="n"/>
      <c r="T12" s="6" t="n"/>
    </row>
    <row r="13" ht="42.55" customHeight="1" thickBot="1">
      <c r="H13" s="9" t="inlineStr">
        <is>
          <t>C:\Users\Omer\rl-qecc-data\2026-07-15_07-12-39</t>
        </is>
      </c>
      <c r="I13" s="8" t="n">
        <v>460101</v>
      </c>
      <c r="J13" s="7" t="inlineStr">
        <is>
          <t>9,6</t>
        </is>
      </c>
      <c r="K13" s="7" t="n">
        <v>8</v>
      </c>
      <c r="L13" s="7" t="n"/>
      <c r="M13" s="7" t="inlineStr">
        <is>
          <t>hybrid</t>
        </is>
      </c>
      <c r="N13" s="7" t="n"/>
      <c r="O13" s="7" t="n"/>
      <c r="P13" s="7" t="n"/>
      <c r="Q13" s="7" t="inlineStr">
        <is>
          <t>2026-07-12_21-15-58/surrogate_6x6.pth</t>
        </is>
      </c>
      <c r="R13" s="7" t="n">
        <v>0.003</v>
      </c>
      <c r="S13" s="7" t="inlineStr">
        <is>
          <t>Done</t>
        </is>
      </c>
      <c r="T13" s="7" t="inlineStr">
        <is>
          <t>Yes</t>
        </is>
      </c>
    </row>
    <row r="14" ht="42.55" customHeight="1" thickBot="1">
      <c r="H14" s="13" t="n"/>
      <c r="I14" s="14" t="n"/>
      <c r="J14" s="15" t="inlineStr">
        <is>
          <t>9,6</t>
        </is>
      </c>
      <c r="K14" s="15" t="n">
        <v>8</v>
      </c>
      <c r="L14" s="15" t="n"/>
      <c r="M14" s="15" t="n"/>
      <c r="N14" s="15" t="n"/>
      <c r="O14" s="15" t="n"/>
      <c r="P14" s="15" t="n">
        <v>50</v>
      </c>
      <c r="Q14" s="15" t="inlineStr">
        <is>
          <t>2026-07-12_21-15-58/surrogate_6x6.pth</t>
        </is>
      </c>
      <c r="R14" s="15" t="n">
        <v>0.003</v>
      </c>
      <c r="S14" s="15" t="n"/>
      <c r="T14" s="15" t="n"/>
    </row>
    <row r="15" ht="42.55" customHeight="1" thickBot="1">
      <c r="H15" s="13" t="n"/>
      <c r="I15" s="14" t="n"/>
      <c r="J15" s="15" t="inlineStr">
        <is>
          <t>9,6</t>
        </is>
      </c>
      <c r="K15" s="15" t="n">
        <v>8</v>
      </c>
      <c r="L15" s="15" t="n"/>
      <c r="M15" s="15" t="n"/>
      <c r="N15" s="15" t="n"/>
      <c r="O15" s="15" t="n"/>
      <c r="P15" s="15" t="n">
        <v>50</v>
      </c>
      <c r="Q15" s="15" t="inlineStr">
        <is>
          <t>2026-07-12_21-15-58/surrogate_6x6.pth</t>
        </is>
      </c>
      <c r="R15" s="15" t="n">
        <v>0.003</v>
      </c>
      <c r="S15" s="15" t="n"/>
      <c r="T15" s="15" t="n"/>
    </row>
    <row r="16" ht="42.55" customHeight="1" thickBot="1">
      <c r="H16" s="13" t="n"/>
      <c r="I16" s="14" t="n">
        <v>232323</v>
      </c>
      <c r="J16" s="15" t="inlineStr">
        <is>
          <t>9,6</t>
        </is>
      </c>
      <c r="K16" s="15" t="n">
        <v>8</v>
      </c>
      <c r="L16" s="15" t="n"/>
      <c r="M16" s="15" t="inlineStr">
        <is>
          <t>hybrid</t>
        </is>
      </c>
      <c r="N16" s="15" t="n"/>
      <c r="O16" s="15" t="n"/>
      <c r="P16" s="15" t="n">
        <v>50</v>
      </c>
      <c r="Q16" s="15" t="inlineStr">
        <is>
          <t>2026-07-12_21-15-58/surrogate_6x6.pth</t>
        </is>
      </c>
      <c r="R16" s="15" t="n">
        <v>0.003</v>
      </c>
      <c r="S16" s="15" t="n"/>
      <c r="T16" s="15" t="n"/>
    </row>
    <row r="17" ht="63.5" customHeight="1" thickBot="1">
      <c r="H17" s="13" t="inlineStr">
        <is>
          <t>C:\Users\Omer\rl-qecc-data\2026-07-15_14-55-03_3158085</t>
        </is>
      </c>
      <c r="I17" s="14" t="n">
        <v>232323</v>
      </c>
      <c r="J17" s="15" t="inlineStr">
        <is>
          <t>9,6</t>
        </is>
      </c>
      <c r="K17" s="15" t="n">
        <v>8</v>
      </c>
      <c r="L17" s="15" t="n"/>
      <c r="M17" s="15" t="inlineStr">
        <is>
          <t>hybrid</t>
        </is>
      </c>
      <c r="N17" s="15" t="n"/>
      <c r="O17" s="15" t="n"/>
      <c r="P17" s="15" t="n">
        <v>20</v>
      </c>
      <c r="Q17" s="16" t="inlineStr">
        <is>
          <t>2026-07-12_10-56-04/surrogate_6x6.pth</t>
        </is>
      </c>
      <c r="R17" s="15" t="n">
        <v>0.003</v>
      </c>
      <c r="S17" s="15" t="inlineStr">
        <is>
          <t>Done</t>
        </is>
      </c>
      <c r="T17" s="15" t="inlineStr">
        <is>
          <t>Yes</t>
        </is>
      </c>
    </row>
    <row r="18" ht="63.5" customHeight="1" thickBot="1">
      <c r="R18" s="15" t="n"/>
      <c r="S18" s="15" t="n"/>
      <c r="T18" s="15" t="n"/>
    </row>
    <row r="19" ht="42.55" customHeight="1" thickBot="1">
      <c r="I19" s="5" t="n">
        <v>2</v>
      </c>
      <c r="J19" s="6" t="inlineStr">
        <is>
          <t>15,3</t>
        </is>
      </c>
      <c r="K19" s="6" t="n">
        <v>10</v>
      </c>
      <c r="L19" s="6" t="n"/>
      <c r="M19" s="6" t="inlineStr">
        <is>
          <t>hybrid</t>
        </is>
      </c>
      <c r="N19" s="6" t="inlineStr">
        <is>
          <t>Yes (pretrained)</t>
        </is>
      </c>
      <c r="O19" s="6" t="n">
        <v>0.1</v>
      </c>
      <c r="P19" s="6" t="n">
        <v>10</v>
      </c>
      <c r="Q19" s="6" t="inlineStr">
        <is>
          <t>2026-07-12_21-15-58/surrogate_6x6.pth</t>
        </is>
      </c>
      <c r="R19" s="6" t="n">
        <v>0.003</v>
      </c>
      <c r="S19" s="6" t="n"/>
      <c r="T19" s="6" t="n"/>
    </row>
    <row r="20" ht="42.55" customHeight="1" thickBot="1">
      <c r="H20" s="1" t="inlineStr">
        <is>
          <t>C:\Users\Omer\rl-qecc-data\2026-07-15_20-20-03_3795808</t>
        </is>
      </c>
      <c r="I20" s="5" t="n">
        <v>232323</v>
      </c>
      <c r="J20" s="6" t="inlineStr">
        <is>
          <t>15,3</t>
        </is>
      </c>
      <c r="K20" s="6" t="n">
        <v>10</v>
      </c>
      <c r="L20" s="6" t="n"/>
      <c r="M20" s="6" t="inlineStr">
        <is>
          <t>hybrid</t>
        </is>
      </c>
      <c r="N20" s="6" t="inlineStr">
        <is>
          <t>No</t>
        </is>
      </c>
      <c r="O20" s="6" t="n">
        <v>1</v>
      </c>
      <c r="P20" s="6" t="n">
        <v>0</v>
      </c>
      <c r="Q20" s="6" t="inlineStr">
        <is>
          <t>2026-07-12_21-15-58/surrogate_6x6.pth</t>
        </is>
      </c>
      <c r="R20" s="6" t="n">
        <v>0.003</v>
      </c>
      <c r="S20" s="6" t="n"/>
      <c r="T20" s="6" t="n"/>
    </row>
    <row r="21" ht="42.55" customHeight="1" thickBot="1">
      <c r="H21" s="1" t="inlineStr">
        <is>
          <t>C:\Users\Omer\rl-qecc-data\2026-07-15_23-52-37_217901</t>
        </is>
      </c>
      <c r="I21" s="5" t="n">
        <v>232323</v>
      </c>
      <c r="J21" s="6" t="inlineStr">
        <is>
          <t>15,3</t>
        </is>
      </c>
      <c r="K21" s="6" t="n">
        <v>10</v>
      </c>
      <c r="L21" s="6" t="n"/>
      <c r="M21" s="6" t="inlineStr">
        <is>
          <t>hybrid</t>
        </is>
      </c>
      <c r="N21" s="6" t="n"/>
      <c r="O21" s="6" t="n">
        <v>0.1</v>
      </c>
      <c r="P21" s="6" t="n">
        <v>10</v>
      </c>
      <c r="Q21" s="6" t="inlineStr">
        <is>
          <t>2026-07-12_21-15-58/surrogate_6x6.pth</t>
        </is>
      </c>
      <c r="R21" s="6" t="n">
        <v>0.003</v>
      </c>
      <c r="S21" s="6" t="n"/>
      <c r="T21" s="6" t="n"/>
    </row>
    <row r="22" ht="42.55" customHeight="1" thickBot="1">
      <c r="I22" s="5" t="n"/>
      <c r="J22" s="6" t="inlineStr">
        <is>
          <t>15,3</t>
        </is>
      </c>
      <c r="K22" s="6" t="n">
        <v>10</v>
      </c>
      <c r="L22" s="6" t="n"/>
      <c r="M22" s="6" t="inlineStr">
        <is>
          <t>hybrid</t>
        </is>
      </c>
      <c r="N22" s="6" t="n"/>
      <c r="O22" s="6" t="n"/>
      <c r="P22" s="6" t="n"/>
      <c r="Q22" s="6" t="inlineStr">
        <is>
          <t>2026-07-12_21-15-58/surrogate_6x6.pth</t>
        </is>
      </c>
      <c r="R22" s="6" t="n">
        <v>0.003</v>
      </c>
      <c r="S22" s="6" t="n"/>
      <c r="T22" s="6" t="n"/>
    </row>
    <row r="23" ht="42.55" customHeight="1" thickBot="1">
      <c r="I23" s="5" t="n"/>
      <c r="J23" s="6" t="inlineStr">
        <is>
          <t>15,3</t>
        </is>
      </c>
      <c r="K23" s="6" t="n">
        <v>10</v>
      </c>
      <c r="L23" s="6" t="n"/>
      <c r="M23" s="6" t="inlineStr">
        <is>
          <t>hybrid</t>
        </is>
      </c>
      <c r="N23" s="6" t="n"/>
      <c r="O23" s="6" t="n"/>
      <c r="P23" s="6" t="n"/>
      <c r="Q23" s="6" t="inlineStr">
        <is>
          <t>2026-07-12_21-15-58/surrogate_6x6.pth</t>
        </is>
      </c>
      <c r="R23" s="6" t="n">
        <v>0.003</v>
      </c>
      <c r="S23" s="6" t="n"/>
      <c r="T23" s="6" t="n"/>
    </row>
    <row r="24" ht="42.55" customHeight="1" thickBot="1">
      <c r="I24" s="5" t="n"/>
      <c r="J24" s="6" t="inlineStr">
        <is>
          <t>15,3</t>
        </is>
      </c>
      <c r="K24" s="6" t="n">
        <v>10</v>
      </c>
      <c r="L24" s="6" t="n"/>
      <c r="M24" s="6" t="inlineStr">
        <is>
          <t>hybrid</t>
        </is>
      </c>
      <c r="N24" s="6" t="n"/>
      <c r="O24" s="6" t="n"/>
      <c r="P24" s="6" t="n"/>
      <c r="Q24" s="6" t="inlineStr">
        <is>
          <t>2026-07-12_21-15-58/surrogate_6x6.pth</t>
        </is>
      </c>
      <c r="R24" s="6" t="n">
        <v>0.003</v>
      </c>
      <c r="S24" s="6" t="n"/>
      <c r="T24" s="6" t="n"/>
    </row>
    <row r="25">
      <c r="I25" s="1" t="n">
        <v>111</v>
      </c>
      <c r="J25" s="1" t="inlineStr">
        <is>
          <t>9,6</t>
        </is>
      </c>
      <c r="K25" s="1" t="n">
        <v>8</v>
      </c>
      <c r="M25" s="1" t="inlineStr">
        <is>
          <t>hybrid</t>
        </is>
      </c>
      <c r="N25" s="1" t="inlineStr">
        <is>
          <t>No</t>
        </is>
      </c>
      <c r="O25" s="1" t="n">
        <v>0.1</v>
      </c>
      <c r="P25" s="1" t="n">
        <v>50</v>
      </c>
    </row>
    <row r="26">
      <c r="I26" s="1" t="n">
        <v>101010</v>
      </c>
      <c r="J26" s="1" t="inlineStr">
        <is>
          <t>9,6</t>
        </is>
      </c>
      <c r="K26" s="1" t="n">
        <v>8</v>
      </c>
      <c r="M26" s="1" t="inlineStr">
        <is>
          <t>hybrid</t>
        </is>
      </c>
      <c r="N26" s="1" t="inlineStr">
        <is>
          <t>No</t>
        </is>
      </c>
      <c r="O26" s="1" t="n">
        <v>0.1</v>
      </c>
      <c r="P26" s="1" t="n">
        <v>50</v>
      </c>
    </row>
    <row r="27">
      <c r="N27" s="1" t="inlineStr">
        <is>
          <t>No</t>
        </is>
      </c>
      <c r="O27" s="1" t="n">
        <v>1</v>
      </c>
      <c r="P27" s="1" t="n">
        <v>0</v>
      </c>
    </row>
    <row r="28">
      <c r="H28" t="inlineStr">
        <is>
          <t>C:\Users\Omer\rl-qecc-data\2026-07-04_21-14-02</t>
        </is>
      </c>
      <c r="I28" t="n">
        <v>7134066</v>
      </c>
      <c r="N28" t="inlineStr">
        <is>
          <t>No</t>
        </is>
      </c>
      <c r="R28" t="n">
        <v>0.0001</v>
      </c>
      <c r="S28" t="inlineStr">
        <is>
          <t>Done</t>
        </is>
      </c>
      <c r="V28">
        <f>HYPERLINK("C:\Users\Omer\rl-qecc-data\2026-07-04_21-14-02\postProcessing.png","plot")</f>
        <v/>
      </c>
      <c r="W28">
        <f>HYPERLINK("C:\Users\Omer\rl-qecc-data\2026-07-04_21-14-02\experiment.txt","experiment.txt")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H1:W135"/>
  <sheetViews>
    <sheetView tabSelected="1" workbookViewId="0">
      <selection activeCell="U1" sqref="U1:W1"/>
    </sheetView>
  </sheetViews>
  <sheetFormatPr baseColWidth="8" defaultRowHeight="15.05"/>
  <cols>
    <col width="26" bestFit="1" customWidth="1" min="8" max="8"/>
    <col width="13.21875" customWidth="1" min="14" max="14"/>
    <col width="12.88671875" customWidth="1" min="15" max="15"/>
    <col width="14.21875" customWidth="1" min="17" max="17"/>
    <col width="15.88671875" customWidth="1" min="18" max="18"/>
    <col width="15.44140625" customWidth="1" min="19" max="19"/>
    <col width="13.109375" customWidth="1" min="20" max="20"/>
    <col width="14" customWidth="1" min="21" max="21"/>
    <col width="13.5546875" customWidth="1" min="22" max="22"/>
    <col width="13.109375" customWidth="1" min="23" max="23"/>
  </cols>
  <sheetData>
    <row r="1" ht="105.4" customHeight="1" thickBot="1">
      <c r="H1" s="2" t="inlineStr">
        <is>
          <t>Job name / folder name</t>
        </is>
      </c>
      <c r="I1" s="2" t="inlineStr">
        <is>
          <t>Seed</t>
        </is>
      </c>
      <c r="J1" s="3" t="inlineStr">
        <is>
          <t>Code parameters</t>
        </is>
      </c>
      <c r="K1" s="3" t="inlineStr">
        <is>
          <t>Number of qubits</t>
        </is>
      </c>
      <c r="L1" s="3" t="n"/>
      <c r="M1" s="3" t="inlineStr">
        <is>
          <t>Network architecture</t>
        </is>
      </c>
      <c r="N1" s="3" t="inlineStr">
        <is>
          <t>Use pretrained encoder</t>
        </is>
      </c>
      <c r="O1" s="3" t="inlineStr">
        <is>
          <t>Encoder lr factor</t>
        </is>
      </c>
      <c r="P1" s="3" t="inlineStr">
        <is>
          <t>Freeze until ?</t>
        </is>
      </c>
      <c r="Q1" s="3" t="inlineStr">
        <is>
          <t>Encoder</t>
        </is>
      </c>
      <c r="R1" s="3" t="inlineStr">
        <is>
          <t>Entropy eps</t>
        </is>
      </c>
      <c r="S1" s="3" t="inlineStr">
        <is>
          <t>Running / processed</t>
        </is>
      </c>
      <c r="T1" s="3" t="inlineStr">
        <is>
          <t>Is good ?</t>
        </is>
      </c>
      <c r="U1" s="2" t="inlineStr">
        <is>
          <t>Comments</t>
        </is>
      </c>
      <c r="V1" s="2" t="inlineStr">
        <is>
          <t>Link to Plot</t>
        </is>
      </c>
      <c r="W1" s="2" t="inlineStr">
        <is>
          <t>Link to Data</t>
        </is>
      </c>
    </row>
    <row r="2">
      <c r="H2" t="inlineStr">
        <is>
          <t>c:/users/omer/rl-qecc-data/reinforcementLearning\2026-07-09_16-51-56</t>
        </is>
      </c>
      <c r="I2" t="n">
        <v>49846</v>
      </c>
      <c r="N2" t="inlineStr">
        <is>
          <t>No</t>
        </is>
      </c>
      <c r="R2" t="n">
        <v>0.0001</v>
      </c>
      <c r="S2" t="inlineStr">
        <is>
          <t>Done</t>
        </is>
      </c>
      <c r="V2">
        <f>HYPERLINK("c:\users\omer\rl-qecc-data\reinforcementLearning\2026-07-09_16-51-56\postProcessing.png","plot")</f>
        <v/>
      </c>
      <c r="W2">
        <f>HYPERLINK("c:\users\omer\rl-qecc-data\reinforcementLearning\2026-07-09_16-51-56\experiment.txt","experiment.txt")</f>
        <v/>
      </c>
    </row>
    <row r="3">
      <c r="H3" t="inlineStr">
        <is>
          <t>c:/users/omer/rl-qecc-data/reinforcementLearning\2026-07-10_10-13-17</t>
        </is>
      </c>
      <c r="I3" t="n">
        <v>2844864</v>
      </c>
      <c r="N3" t="inlineStr">
        <is>
          <t>No</t>
        </is>
      </c>
      <c r="R3" t="n">
        <v>0.0001</v>
      </c>
      <c r="S3" t="inlineStr">
        <is>
          <t>Done</t>
        </is>
      </c>
      <c r="V3">
        <f>HYPERLINK("c:\users\omer\rl-qecc-data\reinforcementLearning\2026-07-10_10-13-17\postProcessing.png","plot")</f>
        <v/>
      </c>
      <c r="W3">
        <f>HYPERLINK("c:\users\omer\rl-qecc-data\reinforcementLearning\2026-07-10_10-13-17\experiment.txt","experiment.txt")</f>
        <v/>
      </c>
    </row>
    <row r="4">
      <c r="H4" t="inlineStr">
        <is>
          <t>c:/users/omer/rl-qecc-data/reinforcementLearning\2026-07-10_10-20-26</t>
        </is>
      </c>
      <c r="I4" t="n">
        <v>881211</v>
      </c>
      <c r="N4" t="inlineStr">
        <is>
          <t>No</t>
        </is>
      </c>
      <c r="R4" t="n">
        <v>0.1</v>
      </c>
      <c r="S4" t="inlineStr">
        <is>
          <t>Done</t>
        </is>
      </c>
      <c r="V4">
        <f>HYPERLINK("c:\users\omer\rl-qecc-data\reinforcementLearning\2026-07-10_10-20-26\postProcessing.png","plot")</f>
        <v/>
      </c>
      <c r="W4">
        <f>HYPERLINK("c:\users\omer\rl-qecc-data\reinforcementLearning\2026-07-10_10-20-26\experiment.txt","experiment.txt")</f>
        <v/>
      </c>
    </row>
    <row r="5">
      <c r="H5" t="inlineStr">
        <is>
          <t>c:/users/omer/rl-qecc-data/reinforcementLearning\2026-07-10_10-22-11</t>
        </is>
      </c>
      <c r="I5" t="n">
        <v>32843338</v>
      </c>
      <c r="N5" t="inlineStr">
        <is>
          <t>No</t>
        </is>
      </c>
      <c r="R5" t="n">
        <v>0.0001</v>
      </c>
      <c r="S5" t="inlineStr">
        <is>
          <t>Done</t>
        </is>
      </c>
      <c r="V5">
        <f>HYPERLINK("c:\users\omer\rl-qecc-data\reinforcementLearning\2026-07-10_10-22-11\postProcessing.png","plot")</f>
        <v/>
      </c>
      <c r="W5">
        <f>HYPERLINK("c:\users\omer\rl-qecc-data\reinforcementLearning\2026-07-10_10-22-11\experiment.txt","experiment.txt")</f>
        <v/>
      </c>
    </row>
    <row r="6">
      <c r="H6" t="inlineStr">
        <is>
          <t>c:/users/omer/rl-qecc-data/reinforcementLearning\2026-07-11_11-34-52</t>
        </is>
      </c>
      <c r="I6" t="n">
        <v>1982</v>
      </c>
      <c r="J6" t="inlineStr">
        <is>
          <t>6,6</t>
        </is>
      </c>
      <c r="N6" t="inlineStr">
        <is>
          <t>No</t>
        </is>
      </c>
      <c r="R6" t="n">
        <v>0.001</v>
      </c>
      <c r="S6" t="inlineStr">
        <is>
          <t>Done</t>
        </is>
      </c>
      <c r="V6">
        <f>HYPERLINK("c:\users\omer\rl-qecc-data\reinforcementLearning\2026-07-11_11-34-52\postProcessing.png","plot")</f>
        <v/>
      </c>
      <c r="W6">
        <f>HYPERLINK("c:\users\omer\rl-qecc-data\reinforcementLearning\2026-07-11_11-34-52\experiment.txt","experiment.txt")</f>
        <v/>
      </c>
    </row>
    <row r="7">
      <c r="H7" t="inlineStr">
        <is>
          <t>c:/users/omer/rl-qecc-data/reinforcementLearning\2026-07-11_13-03-32</t>
        </is>
      </c>
      <c r="I7" t="n">
        <v>9959898</v>
      </c>
      <c r="J7" t="inlineStr">
        <is>
          <t>12,6</t>
        </is>
      </c>
      <c r="N7" t="inlineStr">
        <is>
          <t>No</t>
        </is>
      </c>
      <c r="R7" t="n">
        <v>0.1</v>
      </c>
      <c r="S7" t="inlineStr">
        <is>
          <t>Done</t>
        </is>
      </c>
      <c r="V7">
        <f>HYPERLINK("c:\users\omer\rl-qecc-data\reinforcementLearning\2026-07-11_13-03-32\postProcessing.png","plot")</f>
        <v/>
      </c>
      <c r="W7">
        <f>HYPERLINK("c:\users\omer\rl-qecc-data\reinforcementLearning\2026-07-11_13-03-32\experiment.txt","experiment.txt")</f>
        <v/>
      </c>
    </row>
    <row r="8">
      <c r="H8" t="inlineStr">
        <is>
          <t>c:/users/omer/rl-qecc-data/reinforcementLearning\2026-07-27_21-48-42_1172807</t>
        </is>
      </c>
      <c r="I8" t="n">
        <v>3141592</v>
      </c>
      <c r="J8" t="inlineStr">
        <is>
          <t>9,6</t>
        </is>
      </c>
      <c r="K8" t="n">
        <v>8</v>
      </c>
      <c r="M8" t="inlineStr">
        <is>
          <t>hybrid</t>
        </is>
      </c>
      <c r="N8" t="inlineStr">
        <is>
          <t>Yes</t>
        </is>
      </c>
      <c r="O8" t="n">
        <v>0.1</v>
      </c>
      <c r="P8" t="n">
        <v>10</v>
      </c>
      <c r="Q8" t="inlineStr">
        <is>
          <t>2026-07-12_20-18-32/surrogate_6x6.pth</t>
        </is>
      </c>
      <c r="R8" t="n">
        <v>0.003</v>
      </c>
      <c r="S8" t="inlineStr">
        <is>
          <t>Done</t>
        </is>
      </c>
      <c r="V8">
        <f>HYPERLINK("c:\users\omer\rl-qecc-data\reinforcementLearning\2026-07-27_21-48-42_1172807\postProcessing.png","plot")</f>
        <v/>
      </c>
      <c r="W8">
        <f>HYPERLINK("c:\users\omer\rl-qecc-data\reinforcementLearning\2026-07-27_21-48-42_1172807\search_9_6_seed_3141592_experiment.txt","experiment.txt")</f>
        <v/>
      </c>
    </row>
    <row r="9">
      <c r="H9" t="inlineStr">
        <is>
          <t>c:/users/omer/rl-qecc-data/reinforcementLearning\2026-07-27_21-48-42_1172833</t>
        </is>
      </c>
      <c r="I9" t="n">
        <v>2718281</v>
      </c>
      <c r="J9" t="inlineStr">
        <is>
          <t>9,6</t>
        </is>
      </c>
      <c r="K9" t="n">
        <v>8</v>
      </c>
      <c r="M9" t="inlineStr">
        <is>
          <t>hybrid</t>
        </is>
      </c>
      <c r="N9" t="inlineStr">
        <is>
          <t>Yes</t>
        </is>
      </c>
      <c r="O9" t="n">
        <v>0.1</v>
      </c>
      <c r="P9" t="n">
        <v>10</v>
      </c>
      <c r="Q9" t="inlineStr">
        <is>
          <t>2026-07-12_20-18-32/surrogate_6x6.pth</t>
        </is>
      </c>
      <c r="R9" t="n">
        <v>0.003</v>
      </c>
      <c r="S9" t="inlineStr">
        <is>
          <t>Done</t>
        </is>
      </c>
      <c r="V9">
        <f>HYPERLINK("c:\users\omer\rl-qecc-data\reinforcementLearning\2026-07-27_21-48-42_1172833\postProcessing.png","plot")</f>
        <v/>
      </c>
      <c r="W9">
        <f>HYPERLINK("c:\users\omer\rl-qecc-data\reinforcementLearning\2026-07-27_21-48-42_1172833\search_9_6_seed_2718281_experiment.txt","experiment.txt")</f>
        <v/>
      </c>
    </row>
    <row r="10">
      <c r="H10" t="inlineStr">
        <is>
          <t>c:/users/omer/rl-qecc-data/reinforcementLearning\2026-07-27_21-48-42_1172859</t>
        </is>
      </c>
      <c r="I10" t="n">
        <v>1618033</v>
      </c>
      <c r="J10" t="inlineStr">
        <is>
          <t>9,6</t>
        </is>
      </c>
      <c r="K10" t="n">
        <v>8</v>
      </c>
      <c r="M10" t="inlineStr">
        <is>
          <t>hybrid</t>
        </is>
      </c>
      <c r="N10" t="inlineStr">
        <is>
          <t>Yes</t>
        </is>
      </c>
      <c r="O10" t="n">
        <v>0.1</v>
      </c>
      <c r="P10" t="n">
        <v>10</v>
      </c>
      <c r="Q10" t="inlineStr">
        <is>
          <t>2026-07-12_20-18-32/surrogate_6x6.pth</t>
        </is>
      </c>
      <c r="R10" t="n">
        <v>0.003</v>
      </c>
      <c r="S10" t="inlineStr">
        <is>
          <t>Done</t>
        </is>
      </c>
      <c r="V10">
        <f>HYPERLINK("c:\users\omer\rl-qecc-data\reinforcementLearning\2026-07-27_21-48-42_1172859\postProcessing.png","plot")</f>
        <v/>
      </c>
      <c r="W10">
        <f>HYPERLINK("c:\users\omer\rl-qecc-data\reinforcementLearning\2026-07-27_21-48-42_1172859\search_9_6_seed_1618033_experiment.txt","experiment.txt")</f>
        <v/>
      </c>
    </row>
    <row r="11">
      <c r="H11" t="inlineStr">
        <is>
          <t>c:/users/omer/rl-qecc-data/reinforcementLearning\2026-07-27_21-48-44_1172885</t>
        </is>
      </c>
      <c r="I11" t="n">
        <v>1414213</v>
      </c>
      <c r="J11" t="inlineStr">
        <is>
          <t>9,6</t>
        </is>
      </c>
      <c r="K11" t="n">
        <v>8</v>
      </c>
      <c r="M11" t="inlineStr">
        <is>
          <t>hybrid</t>
        </is>
      </c>
      <c r="N11" t="inlineStr">
        <is>
          <t>Yes</t>
        </is>
      </c>
      <c r="O11" t="n">
        <v>0.1</v>
      </c>
      <c r="P11" t="n">
        <v>10</v>
      </c>
      <c r="Q11" t="inlineStr">
        <is>
          <t>2026-07-12_20-18-32/surrogate_6x6.pth</t>
        </is>
      </c>
      <c r="R11" t="n">
        <v>0.003</v>
      </c>
      <c r="S11" t="inlineStr">
        <is>
          <t>Done</t>
        </is>
      </c>
      <c r="V11">
        <f>HYPERLINK("c:\users\omer\rl-qecc-data\reinforcementLearning\2026-07-27_21-48-44_1172885\postProcessing.png","plot")</f>
        <v/>
      </c>
      <c r="W11">
        <f>HYPERLINK("c:\users\omer\rl-qecc-data\reinforcementLearning\2026-07-27_21-48-44_1172885\search_9_6_seed_1414213_experiment.txt","experiment.txt")</f>
        <v/>
      </c>
    </row>
    <row r="12">
      <c r="H12" t="inlineStr">
        <is>
          <t>c:/users/omer/rl-qecc-data/reinforcementLearning\2026-07-27_21-48-47_1172914</t>
        </is>
      </c>
      <c r="I12" t="n">
        <v>1732050</v>
      </c>
      <c r="J12" t="inlineStr">
        <is>
          <t>9,6</t>
        </is>
      </c>
      <c r="K12" t="n">
        <v>8</v>
      </c>
      <c r="M12" t="inlineStr">
        <is>
          <t>hybrid</t>
        </is>
      </c>
      <c r="N12" t="inlineStr">
        <is>
          <t>Yes</t>
        </is>
      </c>
      <c r="O12" t="n">
        <v>0.1</v>
      </c>
      <c r="P12" t="n">
        <v>10</v>
      </c>
      <c r="Q12" t="inlineStr">
        <is>
          <t>2026-07-12_20-18-32/surrogate_6x6.pth</t>
        </is>
      </c>
      <c r="R12" t="n">
        <v>0.003</v>
      </c>
      <c r="S12" t="inlineStr">
        <is>
          <t>Done</t>
        </is>
      </c>
      <c r="V12">
        <f>HYPERLINK("c:\users\omer\rl-qecc-data\reinforcementLearning\2026-07-27_21-48-47_1172914\postProcessing.png","plot")</f>
        <v/>
      </c>
      <c r="W12">
        <f>HYPERLINK("c:\users\omer\rl-qecc-data\reinforcementLearning\2026-07-27_21-48-47_1172914\search_9_6_seed_1732050_experiment.txt","experiment.txt")</f>
        <v/>
      </c>
    </row>
    <row r="13">
      <c r="H13" t="inlineStr">
        <is>
          <t>c:/users/omer/rl-qecc-data/reinforcementLearning\2026-07-27_21-48-51_1172941</t>
        </is>
      </c>
      <c r="I13" t="n">
        <v>2236067</v>
      </c>
      <c r="J13" t="inlineStr">
        <is>
          <t>9,6</t>
        </is>
      </c>
      <c r="K13" t="n">
        <v>8</v>
      </c>
      <c r="M13" t="inlineStr">
        <is>
          <t>hybrid</t>
        </is>
      </c>
      <c r="N13" t="inlineStr">
        <is>
          <t>Yes</t>
        </is>
      </c>
      <c r="O13" t="n">
        <v>0.1</v>
      </c>
      <c r="P13" t="n">
        <v>10</v>
      </c>
      <c r="Q13" t="inlineStr">
        <is>
          <t>2026-07-12_20-18-32/surrogate_6x6.pth</t>
        </is>
      </c>
      <c r="R13" t="n">
        <v>0.003</v>
      </c>
      <c r="S13" t="inlineStr">
        <is>
          <t>Done</t>
        </is>
      </c>
      <c r="V13">
        <f>HYPERLINK("c:\users\omer\rl-qecc-data\reinforcementLearning\2026-07-27_21-48-51_1172941\postProcessing.png","plot")</f>
        <v/>
      </c>
      <c r="W13">
        <f>HYPERLINK("c:\users\omer\rl-qecc-data\reinforcementLearning\2026-07-27_21-48-51_1172941\search_9_6_seed_2236067_experiment.txt","experiment.txt")</f>
        <v/>
      </c>
    </row>
    <row r="14">
      <c r="H14" t="inlineStr">
        <is>
          <t>c:/users/omer/rl-qecc-data/reinforcementLearning\2026-07-27_21-48-54_1173000</t>
        </is>
      </c>
      <c r="I14" t="n">
        <v>2645751</v>
      </c>
      <c r="J14" t="inlineStr">
        <is>
          <t>9,6</t>
        </is>
      </c>
      <c r="K14" t="n">
        <v>8</v>
      </c>
      <c r="M14" t="inlineStr">
        <is>
          <t>hybrid</t>
        </is>
      </c>
      <c r="N14" t="inlineStr">
        <is>
          <t>Yes</t>
        </is>
      </c>
      <c r="O14" t="n">
        <v>0.1</v>
      </c>
      <c r="P14" t="n">
        <v>10</v>
      </c>
      <c r="Q14" t="inlineStr">
        <is>
          <t>2026-07-12_20-18-32/surrogate_6x6.pth</t>
        </is>
      </c>
      <c r="R14" t="n">
        <v>0.003</v>
      </c>
      <c r="S14" t="inlineStr">
        <is>
          <t>Done</t>
        </is>
      </c>
      <c r="V14">
        <f>HYPERLINK("c:\users\omer\rl-qecc-data\reinforcementLearning\2026-07-27_21-48-54_1173000\postProcessing.png","plot")</f>
        <v/>
      </c>
      <c r="W14">
        <f>HYPERLINK("c:\users\omer\rl-qecc-data\reinforcementLearning\2026-07-27_21-48-54_1173000\search_9_6_seed_2645751_experiment.txt","experiment.txt")</f>
        <v/>
      </c>
    </row>
    <row r="15">
      <c r="H15" t="inlineStr">
        <is>
          <t>c:/users/omer/rl-qecc-data/reinforcementLearning\2026-07-27_21-48-56_1173035</t>
        </is>
      </c>
      <c r="I15" t="n">
        <v>3316624</v>
      </c>
      <c r="J15" t="inlineStr">
        <is>
          <t>9,6</t>
        </is>
      </c>
      <c r="K15" t="n">
        <v>8</v>
      </c>
      <c r="M15" t="inlineStr">
        <is>
          <t>hybrid</t>
        </is>
      </c>
      <c r="N15" t="inlineStr">
        <is>
          <t>Yes</t>
        </is>
      </c>
      <c r="O15" t="n">
        <v>0.1</v>
      </c>
      <c r="P15" t="n">
        <v>10</v>
      </c>
      <c r="Q15" t="inlineStr">
        <is>
          <t>2026-07-12_20-18-32/surrogate_6x6.pth</t>
        </is>
      </c>
      <c r="R15" t="n">
        <v>0.003</v>
      </c>
      <c r="S15" t="inlineStr">
        <is>
          <t>Done</t>
        </is>
      </c>
      <c r="V15">
        <f>HYPERLINK("c:\users\omer\rl-qecc-data\reinforcementLearning\2026-07-27_21-48-56_1173035\postProcessing.png","plot")</f>
        <v/>
      </c>
      <c r="W15">
        <f>HYPERLINK("c:\users\omer\rl-qecc-data\reinforcementLearning\2026-07-27_21-48-56_1173035\search_9_6_seed_3316624_experiment.txt","experiment.txt")</f>
        <v/>
      </c>
    </row>
    <row r="16">
      <c r="H16" t="inlineStr">
        <is>
          <t>c:/users/omer/rl-qecc-data/reinforcementLearning\2026-07-27_21-48-59_1173071</t>
        </is>
      </c>
      <c r="I16" t="n">
        <v>1234567</v>
      </c>
      <c r="J16" t="inlineStr">
        <is>
          <t>9,6</t>
        </is>
      </c>
      <c r="K16" t="n">
        <v>8</v>
      </c>
      <c r="M16" t="inlineStr">
        <is>
          <t>hybrid</t>
        </is>
      </c>
      <c r="N16" t="inlineStr">
        <is>
          <t>Yes</t>
        </is>
      </c>
      <c r="O16" t="n">
        <v>0.1</v>
      </c>
      <c r="P16" t="n">
        <v>10</v>
      </c>
      <c r="Q16" t="inlineStr">
        <is>
          <t>2026-07-12_20-18-32/surrogate_6x6.pth</t>
        </is>
      </c>
      <c r="R16" t="n">
        <v>0.003</v>
      </c>
      <c r="S16" t="inlineStr">
        <is>
          <t>Done</t>
        </is>
      </c>
      <c r="V16">
        <f>HYPERLINK("c:\users\omer\rl-qecc-data\reinforcementLearning\2026-07-27_21-48-59_1173071\postProcessing.png","plot")</f>
        <v/>
      </c>
      <c r="W16">
        <f>HYPERLINK("c:\users\omer\rl-qecc-data\reinforcementLearning\2026-07-27_21-48-59_1173071\search_9_6_seed_1234567_experiment.txt","experiment.txt")</f>
        <v/>
      </c>
    </row>
    <row r="17">
      <c r="H17" t="inlineStr">
        <is>
          <t>c:/users/omer/rl-qecc-data/reinforcementLearning\2026-07-27_21-49-02_1173109</t>
        </is>
      </c>
      <c r="I17" t="n">
        <v>7654321</v>
      </c>
      <c r="J17" t="inlineStr">
        <is>
          <t>9,6</t>
        </is>
      </c>
      <c r="K17" t="n">
        <v>8</v>
      </c>
      <c r="M17" t="inlineStr">
        <is>
          <t>hybrid</t>
        </is>
      </c>
      <c r="N17" t="inlineStr">
        <is>
          <t>Yes</t>
        </is>
      </c>
      <c r="O17" t="n">
        <v>0.1</v>
      </c>
      <c r="P17" t="n">
        <v>10</v>
      </c>
      <c r="Q17" t="inlineStr">
        <is>
          <t>2026-07-12_20-18-32/surrogate_6x6.pth</t>
        </is>
      </c>
      <c r="R17" t="n">
        <v>0.003</v>
      </c>
      <c r="S17" t="inlineStr">
        <is>
          <t>Done</t>
        </is>
      </c>
      <c r="V17">
        <f>HYPERLINK("c:\users\omer\rl-qecc-data\reinforcementLearning\2026-07-27_21-49-02_1173109\postProcessing.png","plot")</f>
        <v/>
      </c>
      <c r="W17">
        <f>HYPERLINK("c:\users\omer\rl-qecc-data\reinforcementLearning\2026-07-27_21-49-02_1173109\search_9_6_seed_7654321_experiment.txt","experiment.txt")</f>
        <v/>
      </c>
    </row>
    <row r="18">
      <c r="H18" t="inlineStr">
        <is>
          <t>c:/users/omer/rl-qecc-data/reinforcementLearning\2026-07-27_21-49-05_1173144</t>
        </is>
      </c>
      <c r="I18" t="n">
        <v>9876543</v>
      </c>
      <c r="J18" t="inlineStr">
        <is>
          <t>9,6</t>
        </is>
      </c>
      <c r="K18" t="n">
        <v>8</v>
      </c>
      <c r="M18" t="inlineStr">
        <is>
          <t>hybrid</t>
        </is>
      </c>
      <c r="N18" t="inlineStr">
        <is>
          <t>Yes</t>
        </is>
      </c>
      <c r="O18" t="n">
        <v>0.1</v>
      </c>
      <c r="P18" t="n">
        <v>10</v>
      </c>
      <c r="Q18" t="inlineStr">
        <is>
          <t>2026-07-12_20-18-32/surrogate_6x6.pth</t>
        </is>
      </c>
      <c r="R18" t="n">
        <v>0.003</v>
      </c>
      <c r="S18" t="inlineStr">
        <is>
          <t>Done</t>
        </is>
      </c>
      <c r="V18">
        <f>HYPERLINK("c:\users\omer\rl-qecc-data\reinforcementLearning\2026-07-27_21-49-05_1173144\postProcessing.png","plot")</f>
        <v/>
      </c>
      <c r="W18">
        <f>HYPERLINK("c:\users\omer\rl-qecc-data\reinforcementLearning\2026-07-27_21-49-05_1173144\search_9_6_seed_9876543_experiment.txt","experiment.txt")</f>
        <v/>
      </c>
    </row>
    <row r="19">
      <c r="H19" t="inlineStr">
        <is>
          <t>c:/users/omer/rl-qecc-data/reinforcementLearning\2026-07-27_21-49-09_1173179</t>
        </is>
      </c>
      <c r="I19" t="n">
        <v>1111111</v>
      </c>
      <c r="J19" t="inlineStr">
        <is>
          <t>9,6</t>
        </is>
      </c>
      <c r="K19" t="n">
        <v>8</v>
      </c>
      <c r="M19" t="inlineStr">
        <is>
          <t>hybrid</t>
        </is>
      </c>
      <c r="N19" t="inlineStr">
        <is>
          <t>Yes</t>
        </is>
      </c>
      <c r="O19" t="n">
        <v>0.1</v>
      </c>
      <c r="P19" t="n">
        <v>10</v>
      </c>
      <c r="Q19" t="inlineStr">
        <is>
          <t>2026-07-12_20-18-32/surrogate_6x6.pth</t>
        </is>
      </c>
      <c r="R19" t="n">
        <v>0.003</v>
      </c>
      <c r="S19" t="inlineStr">
        <is>
          <t>Done</t>
        </is>
      </c>
      <c r="V19">
        <f>HYPERLINK("c:\users\omer\rl-qecc-data\reinforcementLearning\2026-07-27_21-49-09_1173179\postProcessing.png","plot")</f>
        <v/>
      </c>
      <c r="W19">
        <f>HYPERLINK("c:\users\omer\rl-qecc-data\reinforcementLearning\2026-07-27_21-49-09_1173179\search_9_6_seed_1111111_experiment.txt","experiment.txt")</f>
        <v/>
      </c>
    </row>
    <row r="20">
      <c r="H20" t="inlineStr">
        <is>
          <t>c:/users/omer/rl-qecc-data/reinforcementLearning\2026-07-27_21-50-10_734813</t>
        </is>
      </c>
      <c r="I20" t="n">
        <v>3141592</v>
      </c>
      <c r="J20" t="inlineStr">
        <is>
          <t>9,6</t>
        </is>
      </c>
      <c r="K20" t="n">
        <v>8</v>
      </c>
      <c r="M20" t="inlineStr">
        <is>
          <t>hybrid</t>
        </is>
      </c>
      <c r="N20" t="inlineStr">
        <is>
          <t>Yes</t>
        </is>
      </c>
      <c r="O20" t="n">
        <v>0.1</v>
      </c>
      <c r="P20" t="n">
        <v>10</v>
      </c>
      <c r="Q20" t="inlineStr">
        <is>
          <t>2026-07-12_21-15-58/surrogate_6x6.pth</t>
        </is>
      </c>
      <c r="R20" t="n">
        <v>0.003</v>
      </c>
      <c r="S20" t="inlineStr">
        <is>
          <t>Done</t>
        </is>
      </c>
      <c r="V20">
        <f>HYPERLINK("c:\users\omer\rl-qecc-data\reinforcementLearning\2026-07-27_21-50-10_734813\postProcessing.png","plot")</f>
        <v/>
      </c>
      <c r="W20">
        <f>HYPERLINK("c:\users\omer\rl-qecc-data\reinforcementLearning\2026-07-27_21-50-10_734813\search_9_6_seed_3141592_experiment.txt","experiment.txt")</f>
        <v/>
      </c>
    </row>
    <row r="21">
      <c r="H21" t="inlineStr">
        <is>
          <t>c:/users/omer/rl-qecc-data/reinforcementLearning\2026-07-27_21-50-10_734850</t>
        </is>
      </c>
      <c r="I21" t="n">
        <v>2718281</v>
      </c>
      <c r="J21" t="inlineStr">
        <is>
          <t>9,6</t>
        </is>
      </c>
      <c r="K21" t="n">
        <v>8</v>
      </c>
      <c r="M21" t="inlineStr">
        <is>
          <t>hybrid</t>
        </is>
      </c>
      <c r="N21" t="inlineStr">
        <is>
          <t>Yes</t>
        </is>
      </c>
      <c r="O21" t="n">
        <v>0.1</v>
      </c>
      <c r="P21" t="n">
        <v>10</v>
      </c>
      <c r="Q21" t="inlineStr">
        <is>
          <t>2026-07-12_21-15-58/surrogate_6x6.pth</t>
        </is>
      </c>
      <c r="R21" t="n">
        <v>0.003</v>
      </c>
      <c r="S21" t="inlineStr">
        <is>
          <t>Done</t>
        </is>
      </c>
      <c r="V21">
        <f>HYPERLINK("c:\users\omer\rl-qecc-data\reinforcementLearning\2026-07-27_21-50-10_734850\postProcessing.png","plot")</f>
        <v/>
      </c>
      <c r="W21">
        <f>HYPERLINK("c:\users\omer\rl-qecc-data\reinforcementLearning\2026-07-27_21-50-10_734850\search_9_6_seed_2718281_experiment.txt","experiment.txt")</f>
        <v/>
      </c>
    </row>
    <row r="22">
      <c r="H22" t="inlineStr">
        <is>
          <t>c:/users/omer/rl-qecc-data/reinforcementLearning\2026-07-27_21-50-10_734883</t>
        </is>
      </c>
      <c r="I22" t="n">
        <v>1618033</v>
      </c>
      <c r="J22" t="inlineStr">
        <is>
          <t>9,6</t>
        </is>
      </c>
      <c r="K22" t="n">
        <v>8</v>
      </c>
      <c r="M22" t="inlineStr">
        <is>
          <t>hybrid</t>
        </is>
      </c>
      <c r="N22" t="inlineStr">
        <is>
          <t>Yes</t>
        </is>
      </c>
      <c r="O22" t="n">
        <v>0.1</v>
      </c>
      <c r="P22" t="n">
        <v>10</v>
      </c>
      <c r="Q22" t="inlineStr">
        <is>
          <t>2026-07-12_21-15-58/surrogate_6x6.pth</t>
        </is>
      </c>
      <c r="R22" t="n">
        <v>0.003</v>
      </c>
      <c r="S22" t="inlineStr">
        <is>
          <t>Done</t>
        </is>
      </c>
      <c r="V22">
        <f>HYPERLINK("c:\users\omer\rl-qecc-data\reinforcementLearning\2026-07-27_21-50-10_734883\postProcessing.png","plot")</f>
        <v/>
      </c>
      <c r="W22">
        <f>HYPERLINK("c:\users\omer\rl-qecc-data\reinforcementLearning\2026-07-27_21-50-10_734883\search_9_6_seed_1618033_experiment.txt","experiment.txt")</f>
        <v/>
      </c>
    </row>
    <row r="23">
      <c r="H23" t="inlineStr">
        <is>
          <t>c:/users/omer/rl-qecc-data/reinforcementLearning\2026-07-27_21-50-13_734914</t>
        </is>
      </c>
      <c r="I23" t="n">
        <v>1414213</v>
      </c>
      <c r="J23" t="inlineStr">
        <is>
          <t>9,6</t>
        </is>
      </c>
      <c r="K23" t="n">
        <v>8</v>
      </c>
      <c r="M23" t="inlineStr">
        <is>
          <t>hybrid</t>
        </is>
      </c>
      <c r="N23" t="inlineStr">
        <is>
          <t>Yes</t>
        </is>
      </c>
      <c r="O23" t="n">
        <v>0.1</v>
      </c>
      <c r="P23" t="n">
        <v>10</v>
      </c>
      <c r="Q23" t="inlineStr">
        <is>
          <t>2026-07-12_21-15-58/surrogate_6x6.pth</t>
        </is>
      </c>
      <c r="R23" t="n">
        <v>0.003</v>
      </c>
      <c r="S23" t="inlineStr">
        <is>
          <t>Done</t>
        </is>
      </c>
      <c r="V23">
        <f>HYPERLINK("c:\users\omer\rl-qecc-data\reinforcementLearning\2026-07-27_21-50-13_734914\postProcessing.png","plot")</f>
        <v/>
      </c>
      <c r="W23">
        <f>HYPERLINK("c:\users\omer\rl-qecc-data\reinforcementLearning\2026-07-27_21-50-13_734914\search_9_6_seed_1414213_experiment.txt","experiment.txt")</f>
        <v/>
      </c>
    </row>
    <row r="24">
      <c r="H24" t="inlineStr">
        <is>
          <t>c:/users/omer/rl-qecc-data/reinforcementLearning\2026-07-27_21-50-16_734943</t>
        </is>
      </c>
      <c r="I24" t="n">
        <v>1732050</v>
      </c>
      <c r="J24" t="inlineStr">
        <is>
          <t>9,6</t>
        </is>
      </c>
      <c r="K24" t="n">
        <v>8</v>
      </c>
      <c r="M24" t="inlineStr">
        <is>
          <t>hybrid</t>
        </is>
      </c>
      <c r="N24" t="inlineStr">
        <is>
          <t>Yes</t>
        </is>
      </c>
      <c r="O24" t="n">
        <v>0.1</v>
      </c>
      <c r="P24" t="n">
        <v>10</v>
      </c>
      <c r="Q24" t="inlineStr">
        <is>
          <t>2026-07-12_21-15-58/surrogate_6x6.pth</t>
        </is>
      </c>
      <c r="R24" t="n">
        <v>0.003</v>
      </c>
      <c r="S24" t="inlineStr">
        <is>
          <t>Done</t>
        </is>
      </c>
      <c r="V24">
        <f>HYPERLINK("c:\users\omer\rl-qecc-data\reinforcementLearning\2026-07-27_21-50-16_734943\postProcessing.png","plot")</f>
        <v/>
      </c>
      <c r="W24">
        <f>HYPERLINK("c:\users\omer\rl-qecc-data\reinforcementLearning\2026-07-27_21-50-16_734943\search_9_6_seed_1732050_experiment.txt","experiment.txt")</f>
        <v/>
      </c>
    </row>
    <row r="25">
      <c r="H25" t="inlineStr">
        <is>
          <t>c:/users/omer/rl-qecc-data/reinforcementLearning\2026-07-27_21-50-20_734978</t>
        </is>
      </c>
      <c r="I25" t="n">
        <v>2236067</v>
      </c>
      <c r="J25" t="inlineStr">
        <is>
          <t>9,6</t>
        </is>
      </c>
      <c r="K25" t="n">
        <v>8</v>
      </c>
      <c r="M25" t="inlineStr">
        <is>
          <t>hybrid</t>
        </is>
      </c>
      <c r="N25" t="inlineStr">
        <is>
          <t>Yes</t>
        </is>
      </c>
      <c r="O25" t="n">
        <v>0.1</v>
      </c>
      <c r="P25" t="n">
        <v>10</v>
      </c>
      <c r="Q25" t="inlineStr">
        <is>
          <t>2026-07-12_21-15-58/surrogate_6x6.pth</t>
        </is>
      </c>
      <c r="R25" t="n">
        <v>0.003</v>
      </c>
      <c r="S25" t="inlineStr">
        <is>
          <t>Done</t>
        </is>
      </c>
      <c r="V25">
        <f>HYPERLINK("c:\users\omer\rl-qecc-data\reinforcementLearning\2026-07-27_21-50-20_734978\postProcessing.png","plot")</f>
        <v/>
      </c>
      <c r="W25">
        <f>HYPERLINK("c:\users\omer\rl-qecc-data\reinforcementLearning\2026-07-27_21-50-20_734978\search_9_6_seed_2236067_experiment.txt","experiment.txt")</f>
        <v/>
      </c>
    </row>
    <row r="26">
      <c r="H26" t="inlineStr">
        <is>
          <t>c:/users/omer/rl-qecc-data/reinforcementLearning\2026-07-27_21-50-23_735045</t>
        </is>
      </c>
      <c r="I26" t="n">
        <v>2645751</v>
      </c>
      <c r="J26" t="inlineStr">
        <is>
          <t>9,6</t>
        </is>
      </c>
      <c r="K26" t="n">
        <v>8</v>
      </c>
      <c r="M26" t="inlineStr">
        <is>
          <t>hybrid</t>
        </is>
      </c>
      <c r="N26" t="inlineStr">
        <is>
          <t>Yes</t>
        </is>
      </c>
      <c r="O26" t="n">
        <v>0.1</v>
      </c>
      <c r="P26" t="n">
        <v>10</v>
      </c>
      <c r="Q26" t="inlineStr">
        <is>
          <t>2026-07-12_21-15-58/surrogate_6x6.pth</t>
        </is>
      </c>
      <c r="R26" t="n">
        <v>0.003</v>
      </c>
      <c r="S26" t="inlineStr">
        <is>
          <t>Done</t>
        </is>
      </c>
      <c r="V26">
        <f>HYPERLINK("c:\users\omer\rl-qecc-data\reinforcementLearning\2026-07-27_21-50-23_735045\postProcessing.png","plot")</f>
        <v/>
      </c>
      <c r="W26">
        <f>HYPERLINK("c:\users\omer\rl-qecc-data\reinforcementLearning\2026-07-27_21-50-23_735045\search_9_6_seed_2645751_experiment.txt","experiment.txt")</f>
        <v/>
      </c>
    </row>
    <row r="27">
      <c r="H27" t="inlineStr">
        <is>
          <t>c:/users/omer/rl-qecc-data/reinforcementLearning\2026-07-27_21-50-26_735091</t>
        </is>
      </c>
      <c r="I27" t="n">
        <v>3316624</v>
      </c>
      <c r="J27" t="inlineStr">
        <is>
          <t>9,6</t>
        </is>
      </c>
      <c r="K27" t="n">
        <v>8</v>
      </c>
      <c r="M27" t="inlineStr">
        <is>
          <t>hybrid</t>
        </is>
      </c>
      <c r="N27" t="inlineStr">
        <is>
          <t>Yes</t>
        </is>
      </c>
      <c r="O27" t="n">
        <v>0.1</v>
      </c>
      <c r="P27" t="n">
        <v>10</v>
      </c>
      <c r="Q27" t="inlineStr">
        <is>
          <t>2026-07-12_21-15-58/surrogate_6x6.pth</t>
        </is>
      </c>
      <c r="R27" t="n">
        <v>0.003</v>
      </c>
      <c r="S27" t="inlineStr">
        <is>
          <t>Done</t>
        </is>
      </c>
      <c r="V27">
        <f>HYPERLINK("c:\users\omer\rl-qecc-data\reinforcementLearning\2026-07-27_21-50-26_735091\postProcessing.png","plot")</f>
        <v/>
      </c>
      <c r="W27">
        <f>HYPERLINK("c:\users\omer\rl-qecc-data\reinforcementLearning\2026-07-27_21-50-26_735091\search_9_6_seed_3316624_experiment.txt","experiment.txt")</f>
        <v/>
      </c>
    </row>
    <row r="28">
      <c r="H28" t="inlineStr">
        <is>
          <t>c:/users/omer/rl-qecc-data/reinforcementLearning\2026-07-27_21-50-28_735131</t>
        </is>
      </c>
      <c r="I28" t="n">
        <v>1234567</v>
      </c>
      <c r="J28" t="inlineStr">
        <is>
          <t>9,6</t>
        </is>
      </c>
      <c r="K28" t="n">
        <v>8</v>
      </c>
      <c r="M28" t="inlineStr">
        <is>
          <t>hybrid</t>
        </is>
      </c>
      <c r="N28" t="inlineStr">
        <is>
          <t>Yes</t>
        </is>
      </c>
      <c r="O28" t="n">
        <v>0.1</v>
      </c>
      <c r="P28" t="n">
        <v>10</v>
      </c>
      <c r="Q28" t="inlineStr">
        <is>
          <t>2026-07-12_21-15-58/surrogate_6x6.pth</t>
        </is>
      </c>
      <c r="R28" t="n">
        <v>0.003</v>
      </c>
      <c r="S28" t="inlineStr">
        <is>
          <t>Done</t>
        </is>
      </c>
      <c r="V28">
        <f>HYPERLINK("c:\users\omer\rl-qecc-data\reinforcementLearning\2026-07-27_21-50-28_735131\postProcessing.png","plot")</f>
        <v/>
      </c>
      <c r="W28">
        <f>HYPERLINK("c:\users\omer\rl-qecc-data\reinforcementLearning\2026-07-27_21-50-28_735131\search_9_6_seed_1234567_experiment.txt","experiment.txt")</f>
        <v/>
      </c>
    </row>
    <row r="29">
      <c r="H29" t="inlineStr">
        <is>
          <t>c:/users/omer/rl-qecc-data/reinforcementLearning\2026-07-27_21-50-32_735172</t>
        </is>
      </c>
      <c r="I29" t="n">
        <v>7654321</v>
      </c>
      <c r="J29" t="inlineStr">
        <is>
          <t>9,6</t>
        </is>
      </c>
      <c r="K29" t="n">
        <v>8</v>
      </c>
      <c r="M29" t="inlineStr">
        <is>
          <t>hybrid</t>
        </is>
      </c>
      <c r="N29" t="inlineStr">
        <is>
          <t>Yes</t>
        </is>
      </c>
      <c r="O29" t="n">
        <v>0.1</v>
      </c>
      <c r="P29" t="n">
        <v>10</v>
      </c>
      <c r="Q29" t="inlineStr">
        <is>
          <t>2026-07-12_21-15-58/surrogate_6x6.pth</t>
        </is>
      </c>
      <c r="R29" t="n">
        <v>0.003</v>
      </c>
      <c r="S29" t="inlineStr">
        <is>
          <t>Done</t>
        </is>
      </c>
      <c r="V29">
        <f>HYPERLINK("c:\users\omer\rl-qecc-data\reinforcementLearning\2026-07-27_21-50-32_735172\postProcessing.png","plot")</f>
        <v/>
      </c>
      <c r="W29">
        <f>HYPERLINK("c:\users\omer\rl-qecc-data\reinforcementLearning\2026-07-27_21-50-32_735172\search_9_6_seed_7654321_experiment.txt","experiment.txt")</f>
        <v/>
      </c>
    </row>
    <row r="30">
      <c r="H30" t="inlineStr">
        <is>
          <t>c:/users/omer/rl-qecc-data/reinforcementLearning\2026-07-27_21-50-34_735210</t>
        </is>
      </c>
      <c r="I30" t="n">
        <v>9876543</v>
      </c>
      <c r="J30" t="inlineStr">
        <is>
          <t>9,6</t>
        </is>
      </c>
      <c r="K30" t="n">
        <v>8</v>
      </c>
      <c r="M30" t="inlineStr">
        <is>
          <t>hybrid</t>
        </is>
      </c>
      <c r="N30" t="inlineStr">
        <is>
          <t>Yes</t>
        </is>
      </c>
      <c r="O30" t="n">
        <v>0.1</v>
      </c>
      <c r="P30" t="n">
        <v>10</v>
      </c>
      <c r="Q30" t="inlineStr">
        <is>
          <t>2026-07-12_21-15-58/surrogate_6x6.pth</t>
        </is>
      </c>
      <c r="R30" t="n">
        <v>0.003</v>
      </c>
      <c r="S30" t="inlineStr">
        <is>
          <t>Done</t>
        </is>
      </c>
      <c r="V30">
        <f>HYPERLINK("c:\users\omer\rl-qecc-data\reinforcementLearning\2026-07-27_21-50-34_735210\postProcessing.png","plot")</f>
        <v/>
      </c>
      <c r="W30">
        <f>HYPERLINK("c:\users\omer\rl-qecc-data\reinforcementLearning\2026-07-27_21-50-34_735210\search_9_6_seed_9876543_experiment.txt","experiment.txt")</f>
        <v/>
      </c>
    </row>
    <row r="31">
      <c r="H31" t="inlineStr">
        <is>
          <t>c:/users/omer/rl-qecc-data/reinforcementLearning\2026-08-02_14-39-04_1157089</t>
        </is>
      </c>
      <c r="I31" t="n">
        <v>90210</v>
      </c>
      <c r="J31" t="inlineStr">
        <is>
          <t>6,6</t>
        </is>
      </c>
      <c r="K31" t="n">
        <v>12</v>
      </c>
      <c r="M31" t="inlineStr">
        <is>
          <t>hybrid</t>
        </is>
      </c>
      <c r="N31" t="inlineStr">
        <is>
          <t>Yes</t>
        </is>
      </c>
      <c r="O31" t="n">
        <v>0.1</v>
      </c>
      <c r="P31" t="n">
        <v>20</v>
      </c>
      <c r="Q31" t="inlineStr">
        <is>
          <t>sweep2/g5_ground_anch_H3_s54321.pth</t>
        </is>
      </c>
      <c r="R31" t="n">
        <v>0.03</v>
      </c>
      <c r="S31" t="inlineStr">
        <is>
          <t>Done</t>
        </is>
      </c>
      <c r="V31">
        <f>HYPERLINK("c:\users\omer\rl-qecc-data\reinforcementLearning\2026-08-02_14-39-04_1157089\postProcessing.png","plot")</f>
        <v/>
      </c>
      <c r="W31">
        <f>HYPERLINK("c:\users\omer\rl-qecc-data\reinforcementLearning\2026-08-02_14-39-04_1157089\experiment_6_6_seed_90210","experiment.txt")</f>
        <v/>
      </c>
    </row>
    <row r="32">
      <c r="H32" t="inlineStr">
        <is>
          <t>c:/users/omer/rl-qecc-data/reinforcementLearning\2026-08-02_14-39-04_1157123</t>
        </is>
      </c>
      <c r="I32" t="n">
        <v>466555</v>
      </c>
      <c r="J32" t="inlineStr">
        <is>
          <t>6,6</t>
        </is>
      </c>
      <c r="K32" t="n">
        <v>12</v>
      </c>
      <c r="M32" t="inlineStr">
        <is>
          <t>hybrid</t>
        </is>
      </c>
      <c r="N32" t="inlineStr">
        <is>
          <t>Yes</t>
        </is>
      </c>
      <c r="O32" t="n">
        <v>0.1</v>
      </c>
      <c r="P32" t="n">
        <v>20</v>
      </c>
      <c r="Q32" t="inlineStr">
        <is>
          <t>sweep2/g5_ground_anch_H3_s54321.pth</t>
        </is>
      </c>
      <c r="R32" t="n">
        <v>0.03</v>
      </c>
      <c r="S32" t="inlineStr">
        <is>
          <t>Done</t>
        </is>
      </c>
      <c r="V32">
        <f>HYPERLINK("c:\users\omer\rl-qecc-data\reinforcementLearning\2026-08-02_14-39-04_1157123\postProcessing.png","plot")</f>
        <v/>
      </c>
      <c r="W32">
        <f>HYPERLINK("c:\users\omer\rl-qecc-data\reinforcementLearning\2026-08-02_14-39-04_1157123\experiment_6_6_seed_466555","experiment.txt")</f>
        <v/>
      </c>
    </row>
    <row r="33">
      <c r="H33" t="inlineStr">
        <is>
          <t>c:/users/omer/rl-qecc-data/reinforcementLearning\2026-08-02_14-39-04_1157150</t>
        </is>
      </c>
      <c r="I33" t="n">
        <v>460101</v>
      </c>
      <c r="J33" t="inlineStr">
        <is>
          <t>6,6</t>
        </is>
      </c>
      <c r="K33" t="n">
        <v>12</v>
      </c>
      <c r="M33" t="inlineStr">
        <is>
          <t>hybrid</t>
        </is>
      </c>
      <c r="N33" t="inlineStr">
        <is>
          <t>Yes</t>
        </is>
      </c>
      <c r="O33" t="n">
        <v>0.1</v>
      </c>
      <c r="P33" t="n">
        <v>20</v>
      </c>
      <c r="Q33" t="inlineStr">
        <is>
          <t>sweep2/g5_ground_anch_H3_s54321.pth</t>
        </is>
      </c>
      <c r="R33" t="n">
        <v>0.03</v>
      </c>
      <c r="S33" t="inlineStr">
        <is>
          <t>Done</t>
        </is>
      </c>
      <c r="V33">
        <f>HYPERLINK("c:\users\omer\rl-qecc-data\reinforcementLearning\2026-08-02_14-39-04_1157150\postProcessing.png","plot")</f>
        <v/>
      </c>
      <c r="W33">
        <f>HYPERLINK("c:\users\omer\rl-qecc-data\reinforcementLearning\2026-08-02_14-39-04_1157150\experiment_6_6_seed_460101","experiment.txt")</f>
        <v/>
      </c>
    </row>
    <row r="34">
      <c r="H34" t="inlineStr">
        <is>
          <t>c:/users/omer/rl-qecc-data/reinforcementLearning\2026-08-02_14-39-04_1157180</t>
        </is>
      </c>
      <c r="I34" t="n">
        <v>7134066</v>
      </c>
      <c r="J34" t="inlineStr">
        <is>
          <t>6,6</t>
        </is>
      </c>
      <c r="K34" t="n">
        <v>12</v>
      </c>
      <c r="M34" t="inlineStr">
        <is>
          <t>hybrid</t>
        </is>
      </c>
      <c r="N34" t="inlineStr">
        <is>
          <t>Yes</t>
        </is>
      </c>
      <c r="O34" t="n">
        <v>0.1</v>
      </c>
      <c r="P34" t="n">
        <v>20</v>
      </c>
      <c r="Q34" t="inlineStr">
        <is>
          <t>sweep2/g5_ground_anch_H3_s54321.pth</t>
        </is>
      </c>
      <c r="R34" t="n">
        <v>0.03</v>
      </c>
      <c r="S34" t="inlineStr">
        <is>
          <t>Done</t>
        </is>
      </c>
      <c r="V34">
        <f>HYPERLINK("c:\users\omer\rl-qecc-data\reinforcementLearning\2026-08-02_14-39-04_1157180\postProcessing.png","plot")</f>
        <v/>
      </c>
      <c r="W34">
        <f>HYPERLINK("c:\users\omer\rl-qecc-data\reinforcementLearning\2026-08-02_14-39-04_1157180\experiment_6_6_seed_7134066","experiment.txt")</f>
        <v/>
      </c>
    </row>
    <row r="35">
      <c r="H35" t="inlineStr">
        <is>
          <t>c:/users/omer/rl-qecc-data/reinforcementLearning\2026-08-02_14-39-04_1157207</t>
        </is>
      </c>
      <c r="I35" t="n">
        <v>999</v>
      </c>
      <c r="J35" t="inlineStr">
        <is>
          <t>6,6</t>
        </is>
      </c>
      <c r="K35" t="n">
        <v>12</v>
      </c>
      <c r="M35" t="inlineStr">
        <is>
          <t>hybrid</t>
        </is>
      </c>
      <c r="N35" t="inlineStr">
        <is>
          <t>Yes</t>
        </is>
      </c>
      <c r="O35" t="n">
        <v>0.1</v>
      </c>
      <c r="P35" t="n">
        <v>20</v>
      </c>
      <c r="Q35" t="inlineStr">
        <is>
          <t>sweep2/g5_ground_anch_H3_s54321.pth</t>
        </is>
      </c>
      <c r="R35" t="n">
        <v>0.03</v>
      </c>
      <c r="S35" t="inlineStr">
        <is>
          <t>Done</t>
        </is>
      </c>
      <c r="V35">
        <f>HYPERLINK("c:\users\omer\rl-qecc-data\reinforcementLearning\2026-08-02_14-39-04_1157207\postProcessing.png","plot")</f>
        <v/>
      </c>
      <c r="W35">
        <f>HYPERLINK("c:\users\omer\rl-qecc-data\reinforcementLearning\2026-08-02_14-39-04_1157207\experiment_6_6_seed_999","experiment.txt")</f>
        <v/>
      </c>
    </row>
    <row r="36">
      <c r="H36" t="inlineStr">
        <is>
          <t>c:/users/omer/rl-qecc-data/reinforcementLearning\2026-08-02_14-39-04_1157237</t>
        </is>
      </c>
      <c r="I36" t="n">
        <v>67</v>
      </c>
      <c r="J36" t="inlineStr">
        <is>
          <t>6,6</t>
        </is>
      </c>
      <c r="K36" t="n">
        <v>12</v>
      </c>
      <c r="M36" t="inlineStr">
        <is>
          <t>hybrid</t>
        </is>
      </c>
      <c r="N36" t="inlineStr">
        <is>
          <t>Yes</t>
        </is>
      </c>
      <c r="O36" t="n">
        <v>0.1</v>
      </c>
      <c r="P36" t="n">
        <v>20</v>
      </c>
      <c r="Q36" t="inlineStr">
        <is>
          <t>sweep2/g5_ground_anch_H3_s54321.pth</t>
        </is>
      </c>
      <c r="R36" t="n">
        <v>0.03</v>
      </c>
      <c r="S36" t="inlineStr">
        <is>
          <t>Done</t>
        </is>
      </c>
      <c r="V36">
        <f>HYPERLINK("c:\users\omer\rl-qecc-data\reinforcementLearning\2026-08-02_14-39-04_1157237\postProcessing.png","plot")</f>
        <v/>
      </c>
      <c r="W36">
        <f>HYPERLINK("c:\users\omer\rl-qecc-data\reinforcementLearning\2026-08-02_14-39-04_1157237\experiment_6_6_seed_67","experiment.txt")</f>
        <v/>
      </c>
    </row>
    <row r="37">
      <c r="H37" t="inlineStr">
        <is>
          <t>c:/users/omer/rl-qecc-data/reinforcementLearning\2026-08-02_14-39-04_1628429</t>
        </is>
      </c>
      <c r="I37" t="n">
        <v>90210</v>
      </c>
      <c r="J37" t="inlineStr">
        <is>
          <t>6,6</t>
        </is>
      </c>
      <c r="K37" t="n">
        <v>12</v>
      </c>
      <c r="M37" t="inlineStr">
        <is>
          <t>hybrid</t>
        </is>
      </c>
      <c r="N37" t="inlineStr">
        <is>
          <t>Yes</t>
        </is>
      </c>
      <c r="O37" t="n">
        <v>0.1</v>
      </c>
      <c r="P37" t="n">
        <v>20</v>
      </c>
      <c r="Q37" t="inlineStr">
        <is>
          <t>sweep2/g5_mix_66_H3_s54321.pth</t>
        </is>
      </c>
      <c r="R37" t="n">
        <v>0.03</v>
      </c>
      <c r="S37" t="inlineStr">
        <is>
          <t>Done</t>
        </is>
      </c>
      <c r="V37">
        <f>HYPERLINK("c:\users\omer\rl-qecc-data\reinforcementLearning\2026-08-02_14-39-04_1628429\postProcessing.png","plot")</f>
        <v/>
      </c>
      <c r="W37">
        <f>HYPERLINK("c:\users\omer\rl-qecc-data\reinforcementLearning\2026-08-02_14-39-04_1628429\experiment_6_6_seed_90210","experiment.txt")</f>
        <v/>
      </c>
    </row>
    <row r="38">
      <c r="H38" t="inlineStr">
        <is>
          <t>c:/users/omer/rl-qecc-data/reinforcementLearning\2026-08-02_14-39-04_1628458</t>
        </is>
      </c>
      <c r="I38" t="n">
        <v>466555</v>
      </c>
      <c r="J38" t="inlineStr">
        <is>
          <t>6,6</t>
        </is>
      </c>
      <c r="K38" t="n">
        <v>12</v>
      </c>
      <c r="M38" t="inlineStr">
        <is>
          <t>hybrid</t>
        </is>
      </c>
      <c r="N38" t="inlineStr">
        <is>
          <t>Yes</t>
        </is>
      </c>
      <c r="O38" t="n">
        <v>0.1</v>
      </c>
      <c r="P38" t="n">
        <v>20</v>
      </c>
      <c r="Q38" t="inlineStr">
        <is>
          <t>sweep2/g5_mix_66_H3_s54321.pth</t>
        </is>
      </c>
      <c r="R38" t="n">
        <v>0.03</v>
      </c>
      <c r="S38" t="inlineStr">
        <is>
          <t>Done</t>
        </is>
      </c>
      <c r="V38">
        <f>HYPERLINK("c:\users\omer\rl-qecc-data\reinforcementLearning\2026-08-02_14-39-04_1628458\postProcessing.png","plot")</f>
        <v/>
      </c>
      <c r="W38">
        <f>HYPERLINK("c:\users\omer\rl-qecc-data\reinforcementLearning\2026-08-02_14-39-04_1628458\experiment_6_6_seed_466555","experiment.txt")</f>
        <v/>
      </c>
    </row>
    <row r="39">
      <c r="H39" t="inlineStr">
        <is>
          <t>c:/users/omer/rl-qecc-data/reinforcementLearning\2026-08-02_14-39-04_1628487</t>
        </is>
      </c>
      <c r="I39" t="n">
        <v>460101</v>
      </c>
      <c r="J39" t="inlineStr">
        <is>
          <t>6,6</t>
        </is>
      </c>
      <c r="K39" t="n">
        <v>12</v>
      </c>
      <c r="M39" t="inlineStr">
        <is>
          <t>hybrid</t>
        </is>
      </c>
      <c r="N39" t="inlineStr">
        <is>
          <t>Yes</t>
        </is>
      </c>
      <c r="O39" t="n">
        <v>0.1</v>
      </c>
      <c r="P39" t="n">
        <v>20</v>
      </c>
      <c r="Q39" t="inlineStr">
        <is>
          <t>sweep2/g5_mix_66_H3_s54321.pth</t>
        </is>
      </c>
      <c r="R39" t="n">
        <v>0.03</v>
      </c>
      <c r="S39" t="inlineStr">
        <is>
          <t>Done</t>
        </is>
      </c>
      <c r="V39">
        <f>HYPERLINK("c:\users\omer\rl-qecc-data\reinforcementLearning\2026-08-02_14-39-04_1628487\postProcessing.png","plot")</f>
        <v/>
      </c>
      <c r="W39">
        <f>HYPERLINK("c:\users\omer\rl-qecc-data\reinforcementLearning\2026-08-02_14-39-04_1628487\experiment_6_6_seed_460101","experiment.txt")</f>
        <v/>
      </c>
    </row>
    <row r="40">
      <c r="H40" t="inlineStr">
        <is>
          <t>c:/users/omer/rl-qecc-data/reinforcementLearning\2026-08-02_14-39-04_1628515</t>
        </is>
      </c>
      <c r="I40" t="n">
        <v>7134066</v>
      </c>
      <c r="J40" t="inlineStr">
        <is>
          <t>6,6</t>
        </is>
      </c>
      <c r="K40" t="n">
        <v>12</v>
      </c>
      <c r="M40" t="inlineStr">
        <is>
          <t>hybrid</t>
        </is>
      </c>
      <c r="N40" t="inlineStr">
        <is>
          <t>Yes</t>
        </is>
      </c>
      <c r="O40" t="n">
        <v>0.1</v>
      </c>
      <c r="P40" t="n">
        <v>20</v>
      </c>
      <c r="Q40" t="inlineStr">
        <is>
          <t>sweep2/g5_mix_66_H3_s54321.pth</t>
        </is>
      </c>
      <c r="R40" t="n">
        <v>0.03</v>
      </c>
      <c r="S40" t="inlineStr">
        <is>
          <t>Done</t>
        </is>
      </c>
      <c r="V40">
        <f>HYPERLINK("c:\users\omer\rl-qecc-data\reinforcementLearning\2026-08-02_14-39-04_1628515\postProcessing.png","plot")</f>
        <v/>
      </c>
      <c r="W40">
        <f>HYPERLINK("c:\users\omer\rl-qecc-data\reinforcementLearning\2026-08-02_14-39-04_1628515\experiment_6_6_seed_7134066","experiment.txt")</f>
        <v/>
      </c>
    </row>
    <row r="41">
      <c r="H41" t="inlineStr">
        <is>
          <t>c:/users/omer/rl-qecc-data/reinforcementLearning\2026-08-02_14-39-04_1628546</t>
        </is>
      </c>
      <c r="I41" t="n">
        <v>999</v>
      </c>
      <c r="J41" t="inlineStr">
        <is>
          <t>6,6</t>
        </is>
      </c>
      <c r="K41" t="n">
        <v>12</v>
      </c>
      <c r="M41" t="inlineStr">
        <is>
          <t>hybrid</t>
        </is>
      </c>
      <c r="N41" t="inlineStr">
        <is>
          <t>Yes</t>
        </is>
      </c>
      <c r="O41" t="n">
        <v>0.1</v>
      </c>
      <c r="P41" t="n">
        <v>20</v>
      </c>
      <c r="Q41" t="inlineStr">
        <is>
          <t>sweep2/g5_mix_66_H3_s54321.pth</t>
        </is>
      </c>
      <c r="R41" t="n">
        <v>0.03</v>
      </c>
      <c r="S41" t="inlineStr">
        <is>
          <t>Done</t>
        </is>
      </c>
      <c r="V41">
        <f>HYPERLINK("c:\users\omer\rl-qecc-data\reinforcementLearning\2026-08-02_14-39-04_1628546\postProcessing.png","plot")</f>
        <v/>
      </c>
      <c r="W41">
        <f>HYPERLINK("c:\users\omer\rl-qecc-data\reinforcementLearning\2026-08-02_14-39-04_1628546\experiment_6_6_seed_999","experiment.txt")</f>
        <v/>
      </c>
    </row>
    <row r="42">
      <c r="H42" t="inlineStr">
        <is>
          <t>c:/users/omer/rl-qecc-data/reinforcementLearning\2026-08-02_14-39-04_1628573</t>
        </is>
      </c>
      <c r="I42" t="n">
        <v>67</v>
      </c>
      <c r="J42" t="inlineStr">
        <is>
          <t>6,6</t>
        </is>
      </c>
      <c r="K42" t="n">
        <v>12</v>
      </c>
      <c r="M42" t="inlineStr">
        <is>
          <t>hybrid</t>
        </is>
      </c>
      <c r="N42" t="inlineStr">
        <is>
          <t>Yes</t>
        </is>
      </c>
      <c r="O42" t="n">
        <v>0.1</v>
      </c>
      <c r="P42" t="n">
        <v>20</v>
      </c>
      <c r="Q42" t="inlineStr">
        <is>
          <t>sweep2/g5_mix_66_H3_s54321.pth</t>
        </is>
      </c>
      <c r="R42" t="n">
        <v>0.03</v>
      </c>
      <c r="S42" t="inlineStr">
        <is>
          <t>Done</t>
        </is>
      </c>
      <c r="V42">
        <f>HYPERLINK("c:\users\omer\rl-qecc-data\reinforcementLearning\2026-08-02_14-39-04_1628573\postProcessing.png","plot")</f>
        <v/>
      </c>
      <c r="W42">
        <f>HYPERLINK("c:\users\omer\rl-qecc-data\reinforcementLearning\2026-08-02_14-39-04_1628573\experiment_6_6_seed_67","experiment.txt")</f>
        <v/>
      </c>
    </row>
    <row r="43">
      <c r="H43" t="inlineStr">
        <is>
          <t>c:/users/omer/rl-qecc-data/reinforcementLearning\2026-08-02_14-39-04_418166</t>
        </is>
      </c>
      <c r="I43" t="n">
        <v>90210</v>
      </c>
      <c r="J43" t="inlineStr">
        <is>
          <t>6,6</t>
        </is>
      </c>
      <c r="K43" t="n">
        <v>12</v>
      </c>
      <c r="M43" t="inlineStr">
        <is>
          <t>hybrid</t>
        </is>
      </c>
      <c r="N43" t="inlineStr">
        <is>
          <t>Yes</t>
        </is>
      </c>
      <c r="O43" t="n">
        <v>0.1</v>
      </c>
      <c r="P43" t="n">
        <v>20</v>
      </c>
      <c r="Q43" t="inlineStr">
        <is>
          <t>sweep2/g5_ground_anch_H7_s466555.pth</t>
        </is>
      </c>
      <c r="R43" t="n">
        <v>0.03</v>
      </c>
      <c r="S43" t="inlineStr">
        <is>
          <t>Done</t>
        </is>
      </c>
      <c r="V43">
        <f>HYPERLINK("c:\users\omer\rl-qecc-data\reinforcementLearning\2026-08-02_14-39-04_418166\postProcessing.png","plot")</f>
        <v/>
      </c>
      <c r="W43">
        <f>HYPERLINK("c:\users\omer\rl-qecc-data\reinforcementLearning\2026-08-02_14-39-04_418166\experiment_6_6_seed_90210","experiment.txt")</f>
        <v/>
      </c>
    </row>
    <row r="44">
      <c r="H44" t="inlineStr">
        <is>
          <t>c:/users/omer/rl-qecc-data/reinforcementLearning\2026-08-02_14-39-04_418194</t>
        </is>
      </c>
      <c r="I44" t="n">
        <v>466555</v>
      </c>
      <c r="J44" t="inlineStr">
        <is>
          <t>6,6</t>
        </is>
      </c>
      <c r="K44" t="n">
        <v>12</v>
      </c>
      <c r="M44" t="inlineStr">
        <is>
          <t>hybrid</t>
        </is>
      </c>
      <c r="N44" t="inlineStr">
        <is>
          <t>Yes</t>
        </is>
      </c>
      <c r="O44" t="n">
        <v>0.1</v>
      </c>
      <c r="P44" t="n">
        <v>20</v>
      </c>
      <c r="Q44" t="inlineStr">
        <is>
          <t>sweep2/g5_ground_anch_H7_s466555.pth</t>
        </is>
      </c>
      <c r="R44" t="n">
        <v>0.03</v>
      </c>
      <c r="S44" t="inlineStr">
        <is>
          <t>Done</t>
        </is>
      </c>
      <c r="V44">
        <f>HYPERLINK("c:\users\omer\rl-qecc-data\reinforcementLearning\2026-08-02_14-39-04_418194\postProcessing.png","plot")</f>
        <v/>
      </c>
      <c r="W44">
        <f>HYPERLINK("c:\users\omer\rl-qecc-data\reinforcementLearning\2026-08-02_14-39-04_418194\experiment_6_6_seed_466555","experiment.txt")</f>
        <v/>
      </c>
    </row>
    <row r="45">
      <c r="H45" t="inlineStr">
        <is>
          <t>c:/users/omer/rl-qecc-data/reinforcementLearning\2026-08-02_14-39-04_418220</t>
        </is>
      </c>
      <c r="I45" t="n">
        <v>460101</v>
      </c>
      <c r="J45" t="inlineStr">
        <is>
          <t>6,6</t>
        </is>
      </c>
      <c r="K45" t="n">
        <v>12</v>
      </c>
      <c r="M45" t="inlineStr">
        <is>
          <t>hybrid</t>
        </is>
      </c>
      <c r="N45" t="inlineStr">
        <is>
          <t>Yes</t>
        </is>
      </c>
      <c r="O45" t="n">
        <v>0.1</v>
      </c>
      <c r="P45" t="n">
        <v>20</v>
      </c>
      <c r="Q45" t="inlineStr">
        <is>
          <t>sweep2/g5_ground_anch_H7_s466555.pth</t>
        </is>
      </c>
      <c r="R45" t="n">
        <v>0.03</v>
      </c>
      <c r="S45" t="inlineStr">
        <is>
          <t>Done</t>
        </is>
      </c>
      <c r="V45">
        <f>HYPERLINK("c:\users\omer\rl-qecc-data\reinforcementLearning\2026-08-02_14-39-04_418220\postProcessing.png","plot")</f>
        <v/>
      </c>
      <c r="W45">
        <f>HYPERLINK("c:\users\omer\rl-qecc-data\reinforcementLearning\2026-08-02_14-39-04_418220\experiment_6_6_seed_460101","experiment.txt")</f>
        <v/>
      </c>
    </row>
    <row r="46">
      <c r="H46" t="inlineStr">
        <is>
          <t>c:/users/omer/rl-qecc-data/reinforcementLearning\2026-08-02_14-39-04_418247</t>
        </is>
      </c>
      <c r="I46" t="n">
        <v>7134066</v>
      </c>
      <c r="J46" t="inlineStr">
        <is>
          <t>6,6</t>
        </is>
      </c>
      <c r="K46" t="n">
        <v>12</v>
      </c>
      <c r="M46" t="inlineStr">
        <is>
          <t>hybrid</t>
        </is>
      </c>
      <c r="N46" t="inlineStr">
        <is>
          <t>Yes</t>
        </is>
      </c>
      <c r="O46" t="n">
        <v>0.1</v>
      </c>
      <c r="P46" t="n">
        <v>20</v>
      </c>
      <c r="Q46" t="inlineStr">
        <is>
          <t>sweep2/g5_ground_anch_H7_s466555.pth</t>
        </is>
      </c>
      <c r="R46" t="n">
        <v>0.03</v>
      </c>
      <c r="S46" t="inlineStr">
        <is>
          <t>Done</t>
        </is>
      </c>
      <c r="V46">
        <f>HYPERLINK("c:\users\omer\rl-qecc-data\reinforcementLearning\2026-08-02_14-39-04_418247\postProcessing.png","plot")</f>
        <v/>
      </c>
      <c r="W46">
        <f>HYPERLINK("c:\users\omer\rl-qecc-data\reinforcementLearning\2026-08-02_14-39-04_418247\experiment_6_6_seed_7134066","experiment.txt")</f>
        <v/>
      </c>
    </row>
    <row r="47">
      <c r="H47" t="inlineStr">
        <is>
          <t>c:/users/omer/rl-qecc-data/reinforcementLearning\2026-08-02_14-39-04_418276</t>
        </is>
      </c>
      <c r="I47" t="n">
        <v>999</v>
      </c>
      <c r="J47" t="inlineStr">
        <is>
          <t>6,6</t>
        </is>
      </c>
      <c r="K47" t="n">
        <v>12</v>
      </c>
      <c r="M47" t="inlineStr">
        <is>
          <t>hybrid</t>
        </is>
      </c>
      <c r="N47" t="inlineStr">
        <is>
          <t>Yes</t>
        </is>
      </c>
      <c r="O47" t="n">
        <v>0.1</v>
      </c>
      <c r="P47" t="n">
        <v>20</v>
      </c>
      <c r="Q47" t="inlineStr">
        <is>
          <t>sweep2/g5_ground_anch_H7_s466555.pth</t>
        </is>
      </c>
      <c r="R47" t="n">
        <v>0.03</v>
      </c>
      <c r="S47" t="inlineStr">
        <is>
          <t>Done</t>
        </is>
      </c>
      <c r="V47">
        <f>HYPERLINK("c:\users\omer\rl-qecc-data\reinforcementLearning\2026-08-02_14-39-04_418276\postProcessing.png","plot")</f>
        <v/>
      </c>
      <c r="W47">
        <f>HYPERLINK("c:\users\omer\rl-qecc-data\reinforcementLearning\2026-08-02_14-39-04_418276\experiment_6_6_seed_999","experiment.txt")</f>
        <v/>
      </c>
    </row>
    <row r="48">
      <c r="H48" t="inlineStr">
        <is>
          <t>c:/users/omer/rl-qecc-data/reinforcementLearning\2026-08-02_14-39-04_418305</t>
        </is>
      </c>
      <c r="I48" t="n">
        <v>67</v>
      </c>
      <c r="J48" t="inlineStr">
        <is>
          <t>6,6</t>
        </is>
      </c>
      <c r="K48" t="n">
        <v>12</v>
      </c>
      <c r="M48" t="inlineStr">
        <is>
          <t>hybrid</t>
        </is>
      </c>
      <c r="N48" t="inlineStr">
        <is>
          <t>Yes</t>
        </is>
      </c>
      <c r="O48" t="n">
        <v>0.1</v>
      </c>
      <c r="P48" t="n">
        <v>20</v>
      </c>
      <c r="Q48" t="inlineStr">
        <is>
          <t>sweep2/g5_ground_anch_H7_s466555.pth</t>
        </is>
      </c>
      <c r="R48" t="n">
        <v>0.03</v>
      </c>
      <c r="S48" t="inlineStr">
        <is>
          <t>Done</t>
        </is>
      </c>
      <c r="V48">
        <f>HYPERLINK("c:\users\omer\rl-qecc-data\reinforcementLearning\2026-08-02_14-39-04_418305\postProcessing.png","plot")</f>
        <v/>
      </c>
      <c r="W48">
        <f>HYPERLINK("c:\users\omer\rl-qecc-data\reinforcementLearning\2026-08-02_14-39-04_418305\experiment_6_6_seed_67","experiment.txt")</f>
        <v/>
      </c>
    </row>
    <row r="49">
      <c r="H49" t="inlineStr">
        <is>
          <t>c:/users/omer/rl-qecc-data/reinforcementLearning\2026-08-02_21-18-53_453521</t>
        </is>
      </c>
      <c r="I49" t="n">
        <v>90210</v>
      </c>
      <c r="J49" t="inlineStr">
        <is>
          <t>6,6</t>
        </is>
      </c>
      <c r="K49" t="n">
        <v>12</v>
      </c>
      <c r="M49" t="inlineStr">
        <is>
          <t>hybrid</t>
        </is>
      </c>
      <c r="N49" t="inlineStr">
        <is>
          <t>Yes</t>
        </is>
      </c>
      <c r="O49" t="n">
        <v>0.1</v>
      </c>
      <c r="P49" t="n">
        <v>20</v>
      </c>
      <c r="Q49" t="inlineStr">
        <is>
          <t>sweep2/g5_ground_anch_H7_s54321.pth</t>
        </is>
      </c>
      <c r="R49" t="n">
        <v>0.03</v>
      </c>
      <c r="S49" t="inlineStr">
        <is>
          <t>Done</t>
        </is>
      </c>
      <c r="V49">
        <f>HYPERLINK("c:\users\omer\rl-qecc-data\reinforcementLearning\2026-08-02_21-18-53_453521\postProcessing.png","plot")</f>
        <v/>
      </c>
      <c r="W49">
        <f>HYPERLINK("c:\users\omer\rl-qecc-data\reinforcementLearning\2026-08-02_21-18-53_453521\experiment_6_6_seed_90210","experiment.txt")</f>
        <v/>
      </c>
    </row>
    <row r="50">
      <c r="H50" t="inlineStr">
        <is>
          <t>c:/users/omer/rl-qecc-data/reinforcementLearning\2026-08-02_21-18-53_453549</t>
        </is>
      </c>
      <c r="I50" t="n">
        <v>466555</v>
      </c>
      <c r="J50" t="inlineStr">
        <is>
          <t>6,6</t>
        </is>
      </c>
      <c r="K50" t="n">
        <v>12</v>
      </c>
      <c r="M50" t="inlineStr">
        <is>
          <t>hybrid</t>
        </is>
      </c>
      <c r="N50" t="inlineStr">
        <is>
          <t>Yes</t>
        </is>
      </c>
      <c r="O50" t="n">
        <v>0.1</v>
      </c>
      <c r="P50" t="n">
        <v>20</v>
      </c>
      <c r="Q50" t="inlineStr">
        <is>
          <t>sweep2/g5_ground_anch_H7_s54321.pth</t>
        </is>
      </c>
      <c r="R50" t="n">
        <v>0.03</v>
      </c>
      <c r="S50" t="inlineStr">
        <is>
          <t>Done</t>
        </is>
      </c>
      <c r="V50">
        <f>HYPERLINK("c:\users\omer\rl-qecc-data\reinforcementLearning\2026-08-02_21-18-53_453549\postProcessing.png","plot")</f>
        <v/>
      </c>
      <c r="W50">
        <f>HYPERLINK("c:\users\omer\rl-qecc-data\reinforcementLearning\2026-08-02_21-18-53_453549\experiment_6_6_seed_466555","experiment.txt")</f>
        <v/>
      </c>
    </row>
    <row r="51">
      <c r="H51" t="inlineStr">
        <is>
          <t>c:/users/omer/rl-qecc-data/reinforcementLearning\2026-08-02_21-18-53_453576</t>
        </is>
      </c>
      <c r="I51" t="n">
        <v>460101</v>
      </c>
      <c r="J51" t="inlineStr">
        <is>
          <t>6,6</t>
        </is>
      </c>
      <c r="K51" t="n">
        <v>12</v>
      </c>
      <c r="M51" t="inlineStr">
        <is>
          <t>hybrid</t>
        </is>
      </c>
      <c r="N51" t="inlineStr">
        <is>
          <t>Yes</t>
        </is>
      </c>
      <c r="O51" t="n">
        <v>0.1</v>
      </c>
      <c r="P51" t="n">
        <v>20</v>
      </c>
      <c r="Q51" t="inlineStr">
        <is>
          <t>sweep2/g5_ground_anch_H7_s54321.pth</t>
        </is>
      </c>
      <c r="R51" t="n">
        <v>0.03</v>
      </c>
      <c r="S51" t="inlineStr">
        <is>
          <t>Done</t>
        </is>
      </c>
      <c r="V51">
        <f>HYPERLINK("c:\users\omer\rl-qecc-data\reinforcementLearning\2026-08-02_21-18-53_453576\postProcessing.png","plot")</f>
        <v/>
      </c>
      <c r="W51">
        <f>HYPERLINK("c:\users\omer\rl-qecc-data\reinforcementLearning\2026-08-02_21-18-53_453576\experiment_6_6_seed_460101","experiment.txt")</f>
        <v/>
      </c>
    </row>
    <row r="52">
      <c r="H52" t="inlineStr">
        <is>
          <t>c:/users/omer/rl-qecc-data/reinforcementLearning\2026-08-02_21-18-53_453605</t>
        </is>
      </c>
      <c r="I52" t="n">
        <v>7134066</v>
      </c>
      <c r="J52" t="inlineStr">
        <is>
          <t>6,6</t>
        </is>
      </c>
      <c r="K52" t="n">
        <v>12</v>
      </c>
      <c r="M52" t="inlineStr">
        <is>
          <t>hybrid</t>
        </is>
      </c>
      <c r="N52" t="inlineStr">
        <is>
          <t>Yes</t>
        </is>
      </c>
      <c r="O52" t="n">
        <v>0.1</v>
      </c>
      <c r="P52" t="n">
        <v>20</v>
      </c>
      <c r="Q52" t="inlineStr">
        <is>
          <t>sweep2/g5_ground_anch_H7_s54321.pth</t>
        </is>
      </c>
      <c r="R52" t="n">
        <v>0.03</v>
      </c>
      <c r="S52" t="inlineStr">
        <is>
          <t>Done</t>
        </is>
      </c>
      <c r="V52">
        <f>HYPERLINK("c:\users\omer\rl-qecc-data\reinforcementLearning\2026-08-02_21-18-53_453605\postProcessing.png","plot")</f>
        <v/>
      </c>
      <c r="W52">
        <f>HYPERLINK("c:\users\omer\rl-qecc-data\reinforcementLearning\2026-08-02_21-18-53_453605\experiment_6_6_seed_7134066","experiment.txt")</f>
        <v/>
      </c>
    </row>
    <row r="53">
      <c r="H53" t="inlineStr">
        <is>
          <t>c:/users/omer/rl-qecc-data/reinforcementLearning\2026-08-02_21-18-53_453631</t>
        </is>
      </c>
      <c r="I53" t="n">
        <v>999</v>
      </c>
      <c r="J53" t="inlineStr">
        <is>
          <t>6,6</t>
        </is>
      </c>
      <c r="K53" t="n">
        <v>12</v>
      </c>
      <c r="M53" t="inlineStr">
        <is>
          <t>hybrid</t>
        </is>
      </c>
      <c r="N53" t="inlineStr">
        <is>
          <t>Yes</t>
        </is>
      </c>
      <c r="O53" t="n">
        <v>0.1</v>
      </c>
      <c r="P53" t="n">
        <v>20</v>
      </c>
      <c r="Q53" t="inlineStr">
        <is>
          <t>sweep2/g5_ground_anch_H7_s54321.pth</t>
        </is>
      </c>
      <c r="R53" t="n">
        <v>0.03</v>
      </c>
      <c r="S53" t="inlineStr">
        <is>
          <t>Done</t>
        </is>
      </c>
      <c r="V53">
        <f>HYPERLINK("c:\users\omer\rl-qecc-data\reinforcementLearning\2026-08-02_21-18-53_453631\postProcessing.png","plot")</f>
        <v/>
      </c>
      <c r="W53">
        <f>HYPERLINK("c:\users\omer\rl-qecc-data\reinforcementLearning\2026-08-02_21-18-53_453631\experiment_6_6_seed_999","experiment.txt")</f>
        <v/>
      </c>
    </row>
    <row r="54">
      <c r="H54" t="inlineStr">
        <is>
          <t>c:/users/omer/rl-qecc-data/reinforcementLearning\2026-08-02_21-18-53_453658</t>
        </is>
      </c>
      <c r="I54" t="n">
        <v>67</v>
      </c>
      <c r="J54" t="inlineStr">
        <is>
          <t>6,6</t>
        </is>
      </c>
      <c r="K54" t="n">
        <v>12</v>
      </c>
      <c r="M54" t="inlineStr">
        <is>
          <t>hybrid</t>
        </is>
      </c>
      <c r="N54" t="inlineStr">
        <is>
          <t>Yes</t>
        </is>
      </c>
      <c r="O54" t="n">
        <v>0.1</v>
      </c>
      <c r="P54" t="n">
        <v>20</v>
      </c>
      <c r="Q54" t="inlineStr">
        <is>
          <t>sweep2/g5_ground_anch_H7_s54321.pth</t>
        </is>
      </c>
      <c r="R54" t="n">
        <v>0.03</v>
      </c>
      <c r="S54" t="inlineStr">
        <is>
          <t>Done</t>
        </is>
      </c>
      <c r="V54">
        <f>HYPERLINK("c:\users\omer\rl-qecc-data\reinforcementLearning\2026-08-02_21-18-53_453658\postProcessing.png","plot")</f>
        <v/>
      </c>
      <c r="W54">
        <f>HYPERLINK("c:\users\omer\rl-qecc-data\reinforcementLearning\2026-08-02_21-18-53_453658\experiment_6_6_seed_67","experiment.txt")</f>
        <v/>
      </c>
    </row>
    <row r="55">
      <c r="H55" t="inlineStr">
        <is>
          <t>c:/users/omer/rl-qecc-data/reinforcementLearning\2026-08-02_21-47-54_1667237</t>
        </is>
      </c>
      <c r="I55" t="n">
        <v>90210</v>
      </c>
      <c r="J55" t="inlineStr">
        <is>
          <t>6,6</t>
        </is>
      </c>
      <c r="K55" t="n">
        <v>12</v>
      </c>
      <c r="M55" t="inlineStr">
        <is>
          <t>hybrid</t>
        </is>
      </c>
      <c r="N55" t="inlineStr">
        <is>
          <t>Yes</t>
        </is>
      </c>
      <c r="O55" t="n">
        <v>0.1</v>
      </c>
      <c r="P55" t="n">
        <v>20</v>
      </c>
      <c r="Q55" t="inlineStr">
        <is>
          <t>sweep2/g5_ground_pure_H7_s466555.pth</t>
        </is>
      </c>
      <c r="R55" t="n">
        <v>0.03</v>
      </c>
      <c r="S55" t="inlineStr">
        <is>
          <t>Done</t>
        </is>
      </c>
      <c r="V55">
        <f>HYPERLINK("c:\users\omer\rl-qecc-data\reinforcementLearning\2026-08-02_21-47-54_1667237\postProcessing.png","plot")</f>
        <v/>
      </c>
      <c r="W55">
        <f>HYPERLINK("c:\users\omer\rl-qecc-data\reinforcementLearning\2026-08-02_21-47-54_1667237\experiment_6_6_seed_90210","experiment.txt")</f>
        <v/>
      </c>
    </row>
    <row r="56">
      <c r="H56" t="inlineStr">
        <is>
          <t>c:/users/omer/rl-qecc-data/reinforcementLearning\2026-08-02_21-47-56_1667265</t>
        </is>
      </c>
      <c r="I56" t="n">
        <v>466555</v>
      </c>
      <c r="J56" t="inlineStr">
        <is>
          <t>6,6</t>
        </is>
      </c>
      <c r="K56" t="n">
        <v>12</v>
      </c>
      <c r="M56" t="inlineStr">
        <is>
          <t>hybrid</t>
        </is>
      </c>
      <c r="N56" t="inlineStr">
        <is>
          <t>Yes</t>
        </is>
      </c>
      <c r="O56" t="n">
        <v>0.1</v>
      </c>
      <c r="P56" t="n">
        <v>20</v>
      </c>
      <c r="Q56" t="inlineStr">
        <is>
          <t>sweep2/g5_ground_pure_H7_s466555.pth</t>
        </is>
      </c>
      <c r="R56" t="n">
        <v>0.03</v>
      </c>
      <c r="S56" t="inlineStr">
        <is>
          <t>Done</t>
        </is>
      </c>
      <c r="V56">
        <f>HYPERLINK("c:\users\omer\rl-qecc-data\reinforcementLearning\2026-08-02_21-47-56_1667265\postProcessing.png","plot")</f>
        <v/>
      </c>
      <c r="W56">
        <f>HYPERLINK("c:\users\omer\rl-qecc-data\reinforcementLearning\2026-08-02_21-47-56_1667265\experiment_6_6_seed_466555","experiment.txt")</f>
        <v/>
      </c>
    </row>
    <row r="57">
      <c r="H57" t="inlineStr">
        <is>
          <t>c:/users/omer/rl-qecc-data/reinforcementLearning\2026-08-02_21-47-59_1667293</t>
        </is>
      </c>
      <c r="I57" t="n">
        <v>460101</v>
      </c>
      <c r="J57" t="inlineStr">
        <is>
          <t>6,6</t>
        </is>
      </c>
      <c r="K57" t="n">
        <v>12</v>
      </c>
      <c r="M57" t="inlineStr">
        <is>
          <t>hybrid</t>
        </is>
      </c>
      <c r="N57" t="inlineStr">
        <is>
          <t>Yes</t>
        </is>
      </c>
      <c r="O57" t="n">
        <v>0.1</v>
      </c>
      <c r="P57" t="n">
        <v>20</v>
      </c>
      <c r="Q57" t="inlineStr">
        <is>
          <t>sweep2/g5_ground_pure_H7_s466555.pth</t>
        </is>
      </c>
      <c r="R57" t="n">
        <v>0.03</v>
      </c>
      <c r="S57" t="inlineStr">
        <is>
          <t>Done</t>
        </is>
      </c>
      <c r="V57">
        <f>HYPERLINK("c:\users\omer\rl-qecc-data\reinforcementLearning\2026-08-02_21-47-59_1667293\postProcessing.png","plot")</f>
        <v/>
      </c>
      <c r="W57">
        <f>HYPERLINK("c:\users\omer\rl-qecc-data\reinforcementLearning\2026-08-02_21-47-59_1667293\experiment_6_6_seed_460101","experiment.txt")</f>
        <v/>
      </c>
    </row>
    <row r="58">
      <c r="H58" t="inlineStr">
        <is>
          <t>c:/users/omer/rl-qecc-data/reinforcementLearning\2026-08-02_21-48-03_1667339</t>
        </is>
      </c>
      <c r="I58" t="n">
        <v>7134066</v>
      </c>
      <c r="J58" t="inlineStr">
        <is>
          <t>6,6</t>
        </is>
      </c>
      <c r="K58" t="n">
        <v>12</v>
      </c>
      <c r="M58" t="inlineStr">
        <is>
          <t>hybrid</t>
        </is>
      </c>
      <c r="N58" t="inlineStr">
        <is>
          <t>Yes</t>
        </is>
      </c>
      <c r="O58" t="n">
        <v>0.1</v>
      </c>
      <c r="P58" t="n">
        <v>20</v>
      </c>
      <c r="Q58" t="inlineStr">
        <is>
          <t>sweep2/g5_ground_pure_H7_s466555.pth</t>
        </is>
      </c>
      <c r="R58" t="n">
        <v>0.03</v>
      </c>
      <c r="S58" t="inlineStr">
        <is>
          <t>Done</t>
        </is>
      </c>
      <c r="V58">
        <f>HYPERLINK("c:\users\omer\rl-qecc-data\reinforcementLearning\2026-08-02_21-48-03_1667339\postProcessing.png","plot")</f>
        <v/>
      </c>
      <c r="W58">
        <f>HYPERLINK("c:\users\omer\rl-qecc-data\reinforcementLearning\2026-08-02_21-48-03_1667339\experiment_6_6_seed_7134066","experiment.txt")</f>
        <v/>
      </c>
    </row>
    <row r="59">
      <c r="H59" t="inlineStr">
        <is>
          <t>c:/users/omer/rl-qecc-data/reinforcementLearning\2026-08-02_21-48-07_1667392</t>
        </is>
      </c>
      <c r="I59" t="n">
        <v>999</v>
      </c>
      <c r="J59" t="inlineStr">
        <is>
          <t>6,6</t>
        </is>
      </c>
      <c r="K59" t="n">
        <v>12</v>
      </c>
      <c r="M59" t="inlineStr">
        <is>
          <t>hybrid</t>
        </is>
      </c>
      <c r="N59" t="inlineStr">
        <is>
          <t>Yes</t>
        </is>
      </c>
      <c r="O59" t="n">
        <v>0.1</v>
      </c>
      <c r="P59" t="n">
        <v>20</v>
      </c>
      <c r="Q59" t="inlineStr">
        <is>
          <t>sweep2/g5_ground_pure_H7_s466555.pth</t>
        </is>
      </c>
      <c r="R59" t="n">
        <v>0.03</v>
      </c>
      <c r="S59" t="inlineStr">
        <is>
          <t>Done</t>
        </is>
      </c>
      <c r="V59">
        <f>HYPERLINK("c:\users\omer\rl-qecc-data\reinforcementLearning\2026-08-02_21-48-07_1667392\postProcessing.png","plot")</f>
        <v/>
      </c>
      <c r="W59">
        <f>HYPERLINK("c:\users\omer\rl-qecc-data\reinforcementLearning\2026-08-02_21-48-07_1667392\experiment_6_6_seed_999","experiment.txt")</f>
        <v/>
      </c>
    </row>
    <row r="60">
      <c r="H60" t="inlineStr">
        <is>
          <t>c:/users/omer/rl-qecc-data/reinforcementLearning\2026-08-02_21-48-09_1667450</t>
        </is>
      </c>
      <c r="I60" t="n">
        <v>67</v>
      </c>
      <c r="J60" t="inlineStr">
        <is>
          <t>6,6</t>
        </is>
      </c>
      <c r="K60" t="n">
        <v>12</v>
      </c>
      <c r="M60" t="inlineStr">
        <is>
          <t>hybrid</t>
        </is>
      </c>
      <c r="N60" t="inlineStr">
        <is>
          <t>Yes</t>
        </is>
      </c>
      <c r="O60" t="n">
        <v>0.1</v>
      </c>
      <c r="P60" t="n">
        <v>20</v>
      </c>
      <c r="Q60" t="inlineStr">
        <is>
          <t>sweep2/g5_ground_pure_H7_s466555.pth</t>
        </is>
      </c>
      <c r="R60" t="n">
        <v>0.03</v>
      </c>
      <c r="S60" t="inlineStr">
        <is>
          <t>Done</t>
        </is>
      </c>
      <c r="V60">
        <f>HYPERLINK("c:\users\omer\rl-qecc-data\reinforcementLearning\2026-08-02_21-48-09_1667450\postProcessing.png","plot")</f>
        <v/>
      </c>
      <c r="W60">
        <f>HYPERLINK("c:\users\omer\rl-qecc-data\reinforcementLearning\2026-08-02_21-48-09_1667450\experiment_6_6_seed_67","experiment.txt")</f>
        <v/>
      </c>
    </row>
    <row r="61">
      <c r="H61" t="inlineStr">
        <is>
          <t>c:/users/omer/rl-qecc-data/reinforcementLearning\2026-08-02_21-54-41_1194894</t>
        </is>
      </c>
      <c r="I61" t="n">
        <v>90210</v>
      </c>
      <c r="J61" t="inlineStr">
        <is>
          <t>6,6</t>
        </is>
      </c>
      <c r="K61" t="n">
        <v>12</v>
      </c>
      <c r="M61" t="inlineStr">
        <is>
          <t>hybrid</t>
        </is>
      </c>
      <c r="N61" t="inlineStr">
        <is>
          <t>Yes</t>
        </is>
      </c>
      <c r="O61" t="n">
        <v>0.1</v>
      </c>
      <c r="P61" t="n">
        <v>20</v>
      </c>
      <c r="Q61" t="inlineStr">
        <is>
          <t>sweep2/g5_mix_66_H7_s466555.pth</t>
        </is>
      </c>
      <c r="R61" t="n">
        <v>0.03</v>
      </c>
      <c r="S61" t="inlineStr">
        <is>
          <t>Done</t>
        </is>
      </c>
      <c r="V61">
        <f>HYPERLINK("c:\users\omer\rl-qecc-data\reinforcementLearning\2026-08-02_21-54-41_1194894\postProcessing.png","plot")</f>
        <v/>
      </c>
      <c r="W61">
        <f>HYPERLINK("c:\users\omer\rl-qecc-data\reinforcementLearning\2026-08-02_21-54-41_1194894\experiment_6_6_seed_90210","experiment.txt")</f>
        <v/>
      </c>
    </row>
    <row r="62">
      <c r="H62" t="inlineStr">
        <is>
          <t>c:/users/omer/rl-qecc-data/reinforcementLearning\2026-08-02_21-54-42_1194923</t>
        </is>
      </c>
      <c r="I62" t="n">
        <v>466555</v>
      </c>
      <c r="J62" t="inlineStr">
        <is>
          <t>6,6</t>
        </is>
      </c>
      <c r="K62" t="n">
        <v>12</v>
      </c>
      <c r="M62" t="inlineStr">
        <is>
          <t>hybrid</t>
        </is>
      </c>
      <c r="N62" t="inlineStr">
        <is>
          <t>Yes</t>
        </is>
      </c>
      <c r="O62" t="n">
        <v>0.1</v>
      </c>
      <c r="P62" t="n">
        <v>20</v>
      </c>
      <c r="Q62" t="inlineStr">
        <is>
          <t>sweep2/g5_mix_66_H7_s466555.pth</t>
        </is>
      </c>
      <c r="R62" t="n">
        <v>0.03</v>
      </c>
      <c r="S62" t="inlineStr">
        <is>
          <t>Done</t>
        </is>
      </c>
      <c r="V62">
        <f>HYPERLINK("c:\users\omer\rl-qecc-data\reinforcementLearning\2026-08-02_21-54-42_1194923\postProcessing.png","plot")</f>
        <v/>
      </c>
      <c r="W62">
        <f>HYPERLINK("c:\users\omer\rl-qecc-data\reinforcementLearning\2026-08-02_21-54-42_1194923\experiment_6_6_seed_466555","experiment.txt")</f>
        <v/>
      </c>
    </row>
    <row r="63">
      <c r="H63" t="inlineStr">
        <is>
          <t>c:/users/omer/rl-qecc-data/reinforcementLearning\2026-08-02_21-54-46_1194957</t>
        </is>
      </c>
      <c r="I63" t="n">
        <v>460101</v>
      </c>
      <c r="J63" t="inlineStr">
        <is>
          <t>6,6</t>
        </is>
      </c>
      <c r="K63" t="n">
        <v>12</v>
      </c>
      <c r="M63" t="inlineStr">
        <is>
          <t>hybrid</t>
        </is>
      </c>
      <c r="N63" t="inlineStr">
        <is>
          <t>Yes</t>
        </is>
      </c>
      <c r="O63" t="n">
        <v>0.1</v>
      </c>
      <c r="P63" t="n">
        <v>20</v>
      </c>
      <c r="Q63" t="inlineStr">
        <is>
          <t>sweep2/g5_mix_66_H7_s466555.pth</t>
        </is>
      </c>
      <c r="R63" t="n">
        <v>0.03</v>
      </c>
      <c r="S63" t="inlineStr">
        <is>
          <t>Done</t>
        </is>
      </c>
      <c r="V63">
        <f>HYPERLINK("c:\users\omer\rl-qecc-data\reinforcementLearning\2026-08-02_21-54-46_1194957\postProcessing.png","plot")</f>
        <v/>
      </c>
      <c r="W63">
        <f>HYPERLINK("c:\users\omer\rl-qecc-data\reinforcementLearning\2026-08-02_21-54-46_1194957\experiment_6_6_seed_460101","experiment.txt")</f>
        <v/>
      </c>
    </row>
    <row r="64">
      <c r="H64" t="inlineStr">
        <is>
          <t>c:/users/omer/rl-qecc-data/reinforcementLearning\2026-08-02_21-54-50_1195004</t>
        </is>
      </c>
      <c r="I64" t="n">
        <v>7134066</v>
      </c>
      <c r="J64" t="inlineStr">
        <is>
          <t>6,6</t>
        </is>
      </c>
      <c r="K64" t="n">
        <v>12</v>
      </c>
      <c r="M64" t="inlineStr">
        <is>
          <t>hybrid</t>
        </is>
      </c>
      <c r="N64" t="inlineStr">
        <is>
          <t>Yes</t>
        </is>
      </c>
      <c r="O64" t="n">
        <v>0.1</v>
      </c>
      <c r="P64" t="n">
        <v>20</v>
      </c>
      <c r="Q64" t="inlineStr">
        <is>
          <t>sweep2/g5_mix_66_H7_s466555.pth</t>
        </is>
      </c>
      <c r="R64" t="n">
        <v>0.03</v>
      </c>
      <c r="S64" t="inlineStr">
        <is>
          <t>Done</t>
        </is>
      </c>
      <c r="V64">
        <f>HYPERLINK("c:\users\omer\rl-qecc-data\reinforcementLearning\2026-08-02_21-54-50_1195004\postProcessing.png","plot")</f>
        <v/>
      </c>
      <c r="W64">
        <f>HYPERLINK("c:\users\omer\rl-qecc-data\reinforcementLearning\2026-08-02_21-54-50_1195004\experiment_6_6_seed_7134066","experiment.txt")</f>
        <v/>
      </c>
    </row>
    <row r="65">
      <c r="H65" t="inlineStr">
        <is>
          <t>c:/users/omer/rl-qecc-data/reinforcementLearning\2026-08-02_21-54-53_1195062</t>
        </is>
      </c>
      <c r="I65" t="n">
        <v>999</v>
      </c>
      <c r="J65" t="inlineStr">
        <is>
          <t>6,6</t>
        </is>
      </c>
      <c r="K65" t="n">
        <v>12</v>
      </c>
      <c r="M65" t="inlineStr">
        <is>
          <t>hybrid</t>
        </is>
      </c>
      <c r="N65" t="inlineStr">
        <is>
          <t>Yes</t>
        </is>
      </c>
      <c r="O65" t="n">
        <v>0.1</v>
      </c>
      <c r="P65" t="n">
        <v>20</v>
      </c>
      <c r="Q65" t="inlineStr">
        <is>
          <t>sweep2/g5_mix_66_H7_s466555.pth</t>
        </is>
      </c>
      <c r="R65" t="n">
        <v>0.03</v>
      </c>
      <c r="S65" t="inlineStr">
        <is>
          <t>Done</t>
        </is>
      </c>
      <c r="V65">
        <f>HYPERLINK("c:\users\omer\rl-qecc-data\reinforcementLearning\2026-08-02_21-54-53_1195062\postProcessing.png","plot")</f>
        <v/>
      </c>
      <c r="W65">
        <f>HYPERLINK("c:\users\omer\rl-qecc-data\reinforcementLearning\2026-08-02_21-54-53_1195062\experiment_6_6_seed_999","experiment.txt")</f>
        <v/>
      </c>
    </row>
    <row r="66">
      <c r="H66" t="inlineStr">
        <is>
          <t>c:/users/omer/rl-qecc-data/reinforcementLearning\2026-08-02_21-54-56_1195110</t>
        </is>
      </c>
      <c r="I66" t="n">
        <v>67</v>
      </c>
      <c r="J66" t="inlineStr">
        <is>
          <t>6,6</t>
        </is>
      </c>
      <c r="K66" t="n">
        <v>12</v>
      </c>
      <c r="M66" t="inlineStr">
        <is>
          <t>hybrid</t>
        </is>
      </c>
      <c r="N66" t="inlineStr">
        <is>
          <t>Yes</t>
        </is>
      </c>
      <c r="O66" t="n">
        <v>0.1</v>
      </c>
      <c r="P66" t="n">
        <v>20</v>
      </c>
      <c r="Q66" t="inlineStr">
        <is>
          <t>sweep2/g5_mix_66_H7_s466555.pth</t>
        </is>
      </c>
      <c r="R66" t="n">
        <v>0.03</v>
      </c>
      <c r="S66" t="inlineStr">
        <is>
          <t>Done</t>
        </is>
      </c>
      <c r="V66">
        <f>HYPERLINK("c:\users\omer\rl-qecc-data\reinforcementLearning\2026-08-02_21-54-56_1195110\postProcessing.png","plot")</f>
        <v/>
      </c>
      <c r="W66">
        <f>HYPERLINK("c:\users\omer\rl-qecc-data\reinforcementLearning\2026-08-02_21-54-56_1195110\experiment_6_6_seed_67","experiment.txt")</f>
        <v/>
      </c>
    </row>
    <row r="67">
      <c r="H67" t="inlineStr">
        <is>
          <t>c:/users/omer/rl-qecc-data/reinforcementLearning\2026-08-03_04-23-09_489753</t>
        </is>
      </c>
      <c r="I67" t="n">
        <v>90210</v>
      </c>
      <c r="J67" t="inlineStr">
        <is>
          <t>6,6</t>
        </is>
      </c>
      <c r="K67" t="n">
        <v>12</v>
      </c>
      <c r="M67" t="inlineStr">
        <is>
          <t>hybrid</t>
        </is>
      </c>
      <c r="N67" t="inlineStr">
        <is>
          <t>Yes</t>
        </is>
      </c>
      <c r="O67" t="n">
        <v>0.1</v>
      </c>
      <c r="P67" t="n">
        <v>20</v>
      </c>
      <c r="Q67" t="inlineStr">
        <is>
          <t>sweep2/g5_mix_66_H7_s54321.pth</t>
        </is>
      </c>
      <c r="R67" t="n">
        <v>0.03</v>
      </c>
      <c r="S67" t="inlineStr">
        <is>
          <t>Done</t>
        </is>
      </c>
      <c r="V67">
        <f>HYPERLINK("c:\users\omer\rl-qecc-data\reinforcementLearning\2026-08-03_04-23-09_489753\postProcessing.png","plot")</f>
        <v/>
      </c>
      <c r="W67">
        <f>HYPERLINK("c:\users\omer\rl-qecc-data\reinforcementLearning\2026-08-03_04-23-09_489753\experiment_6_6_seed_90210","experiment.txt")</f>
        <v/>
      </c>
    </row>
    <row r="68">
      <c r="H68" t="inlineStr">
        <is>
          <t>c:/users/omer/rl-qecc-data/reinforcementLearning\2026-08-03_04-23-09_489781</t>
        </is>
      </c>
      <c r="I68" t="n">
        <v>466555</v>
      </c>
      <c r="J68" t="inlineStr">
        <is>
          <t>6,6</t>
        </is>
      </c>
      <c r="K68" t="n">
        <v>12</v>
      </c>
      <c r="M68" t="inlineStr">
        <is>
          <t>hybrid</t>
        </is>
      </c>
      <c r="N68" t="inlineStr">
        <is>
          <t>Yes</t>
        </is>
      </c>
      <c r="O68" t="n">
        <v>0.1</v>
      </c>
      <c r="P68" t="n">
        <v>20</v>
      </c>
      <c r="Q68" t="inlineStr">
        <is>
          <t>sweep2/g5_mix_66_H7_s54321.pth</t>
        </is>
      </c>
      <c r="R68" t="n">
        <v>0.03</v>
      </c>
      <c r="S68" t="inlineStr">
        <is>
          <t>Done</t>
        </is>
      </c>
      <c r="V68">
        <f>HYPERLINK("c:\users\omer\rl-qecc-data\reinforcementLearning\2026-08-03_04-23-09_489781\postProcessing.png","plot")</f>
        <v/>
      </c>
      <c r="W68">
        <f>HYPERLINK("c:\users\omer\rl-qecc-data\reinforcementLearning\2026-08-03_04-23-09_489781\experiment_6_6_seed_466555","experiment.txt")</f>
        <v/>
      </c>
    </row>
    <row r="69">
      <c r="H69" t="inlineStr">
        <is>
          <t>c:/users/omer/rl-qecc-data/reinforcementLearning\2026-08-03_04-23-09_489809</t>
        </is>
      </c>
      <c r="I69" t="n">
        <v>460101</v>
      </c>
      <c r="J69" t="inlineStr">
        <is>
          <t>6,6</t>
        </is>
      </c>
      <c r="K69" t="n">
        <v>12</v>
      </c>
      <c r="M69" t="inlineStr">
        <is>
          <t>hybrid</t>
        </is>
      </c>
      <c r="N69" t="inlineStr">
        <is>
          <t>Yes</t>
        </is>
      </c>
      <c r="O69" t="n">
        <v>0.1</v>
      </c>
      <c r="P69" t="n">
        <v>20</v>
      </c>
      <c r="Q69" t="inlineStr">
        <is>
          <t>sweep2/g5_mix_66_H7_s54321.pth</t>
        </is>
      </c>
      <c r="R69" t="n">
        <v>0.03</v>
      </c>
      <c r="S69" t="inlineStr">
        <is>
          <t>Done</t>
        </is>
      </c>
      <c r="V69">
        <f>HYPERLINK("c:\users\omer\rl-qecc-data\reinforcementLearning\2026-08-03_04-23-09_489809\postProcessing.png","plot")</f>
        <v/>
      </c>
      <c r="W69">
        <f>HYPERLINK("c:\users\omer\rl-qecc-data\reinforcementLearning\2026-08-03_04-23-09_489809\experiment_6_6_seed_460101","experiment.txt")</f>
        <v/>
      </c>
    </row>
    <row r="70">
      <c r="H70" t="inlineStr">
        <is>
          <t>c:/users/omer/rl-qecc-data/reinforcementLearning\2026-08-03_04-23-09_489837</t>
        </is>
      </c>
      <c r="I70" t="n">
        <v>7134066</v>
      </c>
      <c r="J70" t="inlineStr">
        <is>
          <t>6,6</t>
        </is>
      </c>
      <c r="K70" t="n">
        <v>12</v>
      </c>
      <c r="M70" t="inlineStr">
        <is>
          <t>hybrid</t>
        </is>
      </c>
      <c r="N70" t="inlineStr">
        <is>
          <t>Yes</t>
        </is>
      </c>
      <c r="O70" t="n">
        <v>0.1</v>
      </c>
      <c r="P70" t="n">
        <v>20</v>
      </c>
      <c r="Q70" t="inlineStr">
        <is>
          <t>sweep2/g5_mix_66_H7_s54321.pth</t>
        </is>
      </c>
      <c r="R70" t="n">
        <v>0.03</v>
      </c>
      <c r="S70" t="inlineStr">
        <is>
          <t>Done</t>
        </is>
      </c>
      <c r="V70">
        <f>HYPERLINK("c:\users\omer\rl-qecc-data\reinforcementLearning\2026-08-03_04-23-09_489837\postProcessing.png","plot")</f>
        <v/>
      </c>
      <c r="W70">
        <f>HYPERLINK("c:\users\omer\rl-qecc-data\reinforcementLearning\2026-08-03_04-23-09_489837\experiment_6_6_seed_7134066","experiment.txt")</f>
        <v/>
      </c>
    </row>
    <row r="71">
      <c r="H71" t="inlineStr">
        <is>
          <t>c:/users/omer/rl-qecc-data/reinforcementLearning\2026-08-03_04-23-09_489864</t>
        </is>
      </c>
      <c r="I71" t="n">
        <v>999</v>
      </c>
      <c r="J71" t="inlineStr">
        <is>
          <t>6,6</t>
        </is>
      </c>
      <c r="K71" t="n">
        <v>12</v>
      </c>
      <c r="M71" t="inlineStr">
        <is>
          <t>hybrid</t>
        </is>
      </c>
      <c r="N71" t="inlineStr">
        <is>
          <t>Yes</t>
        </is>
      </c>
      <c r="O71" t="n">
        <v>0.1</v>
      </c>
      <c r="P71" t="n">
        <v>20</v>
      </c>
      <c r="Q71" t="inlineStr">
        <is>
          <t>sweep2/g5_mix_66_H7_s54321.pth</t>
        </is>
      </c>
      <c r="R71" t="n">
        <v>0.03</v>
      </c>
      <c r="S71" t="inlineStr">
        <is>
          <t>Done</t>
        </is>
      </c>
      <c r="V71">
        <f>HYPERLINK("c:\users\omer\rl-qecc-data\reinforcementLearning\2026-08-03_04-23-09_489864\postProcessing.png","plot")</f>
        <v/>
      </c>
      <c r="W71">
        <f>HYPERLINK("c:\users\omer\rl-qecc-data\reinforcementLearning\2026-08-03_04-23-09_489864\experiment_6_6_seed_999","experiment.txt")</f>
        <v/>
      </c>
    </row>
    <row r="72">
      <c r="H72" t="inlineStr">
        <is>
          <t>c:/users/omer/rl-qecc-data/reinforcementLearning\2026-08-03_04-23-09_489890</t>
        </is>
      </c>
      <c r="I72" t="n">
        <v>67</v>
      </c>
      <c r="J72" t="inlineStr">
        <is>
          <t>6,6</t>
        </is>
      </c>
      <c r="K72" t="n">
        <v>12</v>
      </c>
      <c r="M72" t="inlineStr">
        <is>
          <t>hybrid</t>
        </is>
      </c>
      <c r="N72" t="inlineStr">
        <is>
          <t>Yes</t>
        </is>
      </c>
      <c r="O72" t="n">
        <v>0.1</v>
      </c>
      <c r="P72" t="n">
        <v>20</v>
      </c>
      <c r="Q72" t="inlineStr">
        <is>
          <t>sweep2/g5_mix_66_H7_s54321.pth</t>
        </is>
      </c>
      <c r="R72" t="n">
        <v>0.03</v>
      </c>
      <c r="S72" t="inlineStr">
        <is>
          <t>Done</t>
        </is>
      </c>
      <c r="V72">
        <f>HYPERLINK("c:\users\omer\rl-qecc-data\reinforcementLearning\2026-08-03_04-23-09_489890\postProcessing.png","plot")</f>
        <v/>
      </c>
      <c r="W72">
        <f>HYPERLINK("c:\users\omer\rl-qecc-data\reinforcementLearning\2026-08-03_04-23-09_489890\experiment_6_6_seed_67","experiment.txt")</f>
        <v/>
      </c>
    </row>
    <row r="73">
      <c r="H73" t="inlineStr">
        <is>
          <t>c:/users/omer/rl-qecc-data/reinforcementLearning\2026-08-03_04-31-43_1700848</t>
        </is>
      </c>
      <c r="I73" t="n">
        <v>90210</v>
      </c>
      <c r="J73" t="inlineStr">
        <is>
          <t>9,6</t>
        </is>
      </c>
      <c r="K73" t="n">
        <v>8</v>
      </c>
      <c r="M73" t="inlineStr">
        <is>
          <t>hybrid</t>
        </is>
      </c>
      <c r="N73" t="inlineStr">
        <is>
          <t>Yes</t>
        </is>
      </c>
      <c r="O73" t="n">
        <v>0.1</v>
      </c>
      <c r="P73" t="n">
        <v>20</v>
      </c>
      <c r="Q73" t="inlineStr">
        <is>
          <t>sweep2/g5_mix_66-96_H7_s54321.pth</t>
        </is>
      </c>
      <c r="R73" t="n">
        <v>0.03</v>
      </c>
      <c r="S73" t="inlineStr">
        <is>
          <t>Done</t>
        </is>
      </c>
      <c r="V73">
        <f>HYPERLINK("c:\users\omer\rl-qecc-data\reinforcementLearning\2026-08-03_04-31-43_1700848\postProcessing.png","plot")</f>
        <v/>
      </c>
      <c r="W73">
        <f>HYPERLINK("c:\users\omer\rl-qecc-data\reinforcementLearning\2026-08-03_04-31-43_1700848\experiment_9_6_seed_90210","experiment.txt")</f>
        <v/>
      </c>
    </row>
    <row r="74">
      <c r="H74" t="inlineStr">
        <is>
          <t>c:/users/omer/rl-qecc-data/reinforcementLearning\2026-08-03_04-31-45_1700876</t>
        </is>
      </c>
      <c r="I74" t="n">
        <v>466555</v>
      </c>
      <c r="J74" t="inlineStr">
        <is>
          <t>9,6</t>
        </is>
      </c>
      <c r="K74" t="n">
        <v>8</v>
      </c>
      <c r="M74" t="inlineStr">
        <is>
          <t>hybrid</t>
        </is>
      </c>
      <c r="N74" t="inlineStr">
        <is>
          <t>Yes</t>
        </is>
      </c>
      <c r="O74" t="n">
        <v>0.1</v>
      </c>
      <c r="P74" t="n">
        <v>20</v>
      </c>
      <c r="Q74" t="inlineStr">
        <is>
          <t>sweep2/g5_mix_66-96_H7_s54321.pth</t>
        </is>
      </c>
      <c r="R74" t="n">
        <v>0.03</v>
      </c>
      <c r="S74" t="inlineStr">
        <is>
          <t>Done</t>
        </is>
      </c>
      <c r="V74">
        <f>HYPERLINK("c:\users\omer\rl-qecc-data\reinforcementLearning\2026-08-03_04-31-45_1700876\postProcessing.png","plot")</f>
        <v/>
      </c>
      <c r="W74">
        <f>HYPERLINK("c:\users\omer\rl-qecc-data\reinforcementLearning\2026-08-03_04-31-45_1700876\experiment_9_6_seed_466555","experiment.txt")</f>
        <v/>
      </c>
    </row>
    <row r="75">
      <c r="H75" t="inlineStr">
        <is>
          <t>c:/users/omer/rl-qecc-data/reinforcementLearning\2026-08-03_04-31-48_1700906</t>
        </is>
      </c>
      <c r="I75" t="n">
        <v>460101</v>
      </c>
      <c r="J75" t="inlineStr">
        <is>
          <t>9,6</t>
        </is>
      </c>
      <c r="K75" t="n">
        <v>8</v>
      </c>
      <c r="M75" t="inlineStr">
        <is>
          <t>hybrid</t>
        </is>
      </c>
      <c r="N75" t="inlineStr">
        <is>
          <t>Yes</t>
        </is>
      </c>
      <c r="O75" t="n">
        <v>0.1</v>
      </c>
      <c r="P75" t="n">
        <v>20</v>
      </c>
      <c r="Q75" t="inlineStr">
        <is>
          <t>sweep2/g5_mix_66-96_H7_s54321.pth</t>
        </is>
      </c>
      <c r="R75" t="n">
        <v>0.03</v>
      </c>
      <c r="S75" t="inlineStr">
        <is>
          <t>Done</t>
        </is>
      </c>
      <c r="V75">
        <f>HYPERLINK("c:\users\omer\rl-qecc-data\reinforcementLearning\2026-08-03_04-31-48_1700906\postProcessing.png","plot")</f>
        <v/>
      </c>
      <c r="W75">
        <f>HYPERLINK("c:\users\omer\rl-qecc-data\reinforcementLearning\2026-08-03_04-31-48_1700906\experiment_9_6_seed_460101","experiment.txt")</f>
        <v/>
      </c>
    </row>
    <row r="76">
      <c r="H76" t="inlineStr">
        <is>
          <t>c:/users/omer/rl-qecc-data/reinforcementLearning\2026-08-03_04-31-53_1700948</t>
        </is>
      </c>
      <c r="I76" t="n">
        <v>7134066</v>
      </c>
      <c r="J76" t="inlineStr">
        <is>
          <t>9,6</t>
        </is>
      </c>
      <c r="K76" t="n">
        <v>8</v>
      </c>
      <c r="M76" t="inlineStr">
        <is>
          <t>hybrid</t>
        </is>
      </c>
      <c r="N76" t="inlineStr">
        <is>
          <t>Yes</t>
        </is>
      </c>
      <c r="O76" t="n">
        <v>0.1</v>
      </c>
      <c r="P76" t="n">
        <v>20</v>
      </c>
      <c r="Q76" t="inlineStr">
        <is>
          <t>sweep2/g5_mix_66-96_H7_s54321.pth</t>
        </is>
      </c>
      <c r="R76" t="n">
        <v>0.03</v>
      </c>
      <c r="S76" t="inlineStr">
        <is>
          <t>Done</t>
        </is>
      </c>
      <c r="V76">
        <f>HYPERLINK("c:\users\omer\rl-qecc-data\reinforcementLearning\2026-08-03_04-31-53_1700948\postProcessing.png","plot")</f>
        <v/>
      </c>
      <c r="W76">
        <f>HYPERLINK("c:\users\omer\rl-qecc-data\reinforcementLearning\2026-08-03_04-31-53_1700948\experiment_9_6_seed_7134066","experiment.txt")</f>
        <v/>
      </c>
    </row>
    <row r="77">
      <c r="H77" t="inlineStr">
        <is>
          <t>c:/users/omer/rl-qecc-data/reinforcementLearning\2026-08-03_04-31-56_1701013</t>
        </is>
      </c>
      <c r="I77" t="n">
        <v>999</v>
      </c>
      <c r="J77" t="inlineStr">
        <is>
          <t>9,6</t>
        </is>
      </c>
      <c r="K77" t="n">
        <v>8</v>
      </c>
      <c r="M77" t="inlineStr">
        <is>
          <t>hybrid</t>
        </is>
      </c>
      <c r="N77" t="inlineStr">
        <is>
          <t>Yes</t>
        </is>
      </c>
      <c r="O77" t="n">
        <v>0.1</v>
      </c>
      <c r="P77" t="n">
        <v>20</v>
      </c>
      <c r="Q77" t="inlineStr">
        <is>
          <t>sweep2/g5_mix_66-96_H7_s54321.pth</t>
        </is>
      </c>
      <c r="R77" t="n">
        <v>0.03</v>
      </c>
      <c r="S77" t="inlineStr">
        <is>
          <t>Done</t>
        </is>
      </c>
      <c r="V77">
        <f>HYPERLINK("c:\users\omer\rl-qecc-data\reinforcementLearning\2026-08-03_04-31-56_1701013\postProcessing.png","plot")</f>
        <v/>
      </c>
      <c r="W77">
        <f>HYPERLINK("c:\users\omer\rl-qecc-data\reinforcementLearning\2026-08-03_04-31-56_1701013\experiment_9_6_seed_999","experiment.txt")</f>
        <v/>
      </c>
    </row>
    <row r="78">
      <c r="H78" t="inlineStr">
        <is>
          <t>c:/users/omer/rl-qecc-data/reinforcementLearning\2026-08-03_04-31-59_1701069</t>
        </is>
      </c>
      <c r="I78" t="n">
        <v>67</v>
      </c>
      <c r="J78" t="inlineStr">
        <is>
          <t>9,6</t>
        </is>
      </c>
      <c r="K78" t="n">
        <v>8</v>
      </c>
      <c r="M78" t="inlineStr">
        <is>
          <t>hybrid</t>
        </is>
      </c>
      <c r="N78" t="inlineStr">
        <is>
          <t>Yes</t>
        </is>
      </c>
      <c r="O78" t="n">
        <v>0.1</v>
      </c>
      <c r="P78" t="n">
        <v>20</v>
      </c>
      <c r="Q78" t="inlineStr">
        <is>
          <t>sweep2/g5_mix_66-96_H7_s54321.pth</t>
        </is>
      </c>
      <c r="R78" t="n">
        <v>0.03</v>
      </c>
      <c r="S78" t="inlineStr">
        <is>
          <t>Done</t>
        </is>
      </c>
      <c r="V78">
        <f>HYPERLINK("c:\users\omer\rl-qecc-data\reinforcementLearning\2026-08-03_04-31-59_1701069\postProcessing.png","plot")</f>
        <v/>
      </c>
      <c r="W78">
        <f>HYPERLINK("c:\users\omer\rl-qecc-data\reinforcementLearning\2026-08-03_04-31-59_1701069\experiment_9_6_seed_67","experiment.txt")</f>
        <v/>
      </c>
    </row>
    <row r="79">
      <c r="H79" t="inlineStr">
        <is>
          <t>c:/users/omer/rl-qecc-data/reinforcementLearning\2026-08-03_04-33-44_1228992</t>
        </is>
      </c>
      <c r="I79" t="n">
        <v>90210</v>
      </c>
      <c r="J79" t="inlineStr">
        <is>
          <t>9,6</t>
        </is>
      </c>
      <c r="K79" t="n">
        <v>8</v>
      </c>
      <c r="M79" t="inlineStr">
        <is>
          <t>hybrid</t>
        </is>
      </c>
      <c r="N79" t="inlineStr">
        <is>
          <t>Yes</t>
        </is>
      </c>
      <c r="O79" t="n">
        <v>0.1</v>
      </c>
      <c r="P79" t="n">
        <v>20</v>
      </c>
      <c r="Q79" t="inlineStr">
        <is>
          <t>sweep2/g5_mix_66-96_H6_s3000.pth</t>
        </is>
      </c>
      <c r="R79" t="n">
        <v>0.03</v>
      </c>
      <c r="S79" t="inlineStr">
        <is>
          <t>Done</t>
        </is>
      </c>
      <c r="V79">
        <f>HYPERLINK("c:\users\omer\rl-qecc-data\reinforcementLearning\2026-08-03_04-33-44_1228992\postProcessing.png","plot")</f>
        <v/>
      </c>
      <c r="W79">
        <f>HYPERLINK("c:\users\omer\rl-qecc-data\reinforcementLearning\2026-08-03_04-33-44_1228992\experiment_9_6_seed_90210","experiment.txt")</f>
        <v/>
      </c>
    </row>
    <row r="80">
      <c r="H80" t="inlineStr">
        <is>
          <t>c:/users/omer/rl-qecc-data/reinforcementLearning\2026-08-03_04-33-45_1229022</t>
        </is>
      </c>
      <c r="I80" t="n">
        <v>466555</v>
      </c>
      <c r="J80" t="inlineStr">
        <is>
          <t>9,6</t>
        </is>
      </c>
      <c r="K80" t="n">
        <v>8</v>
      </c>
      <c r="M80" t="inlineStr">
        <is>
          <t>hybrid</t>
        </is>
      </c>
      <c r="N80" t="inlineStr">
        <is>
          <t>Yes</t>
        </is>
      </c>
      <c r="O80" t="n">
        <v>0.1</v>
      </c>
      <c r="P80" t="n">
        <v>20</v>
      </c>
      <c r="Q80" t="inlineStr">
        <is>
          <t>sweep2/g5_mix_66-96_H6_s3000.pth</t>
        </is>
      </c>
      <c r="R80" t="n">
        <v>0.03</v>
      </c>
      <c r="S80" t="inlineStr">
        <is>
          <t>Done</t>
        </is>
      </c>
      <c r="V80">
        <f>HYPERLINK("c:\users\omer\rl-qecc-data\reinforcementLearning\2026-08-03_04-33-45_1229022\postProcessing.png","plot")</f>
        <v/>
      </c>
      <c r="W80">
        <f>HYPERLINK("c:\users\omer\rl-qecc-data\reinforcementLearning\2026-08-03_04-33-45_1229022\experiment_9_6_seed_466555","experiment.txt")</f>
        <v/>
      </c>
    </row>
    <row r="81">
      <c r="H81" t="inlineStr">
        <is>
          <t>c:/users/omer/rl-qecc-data/reinforcementLearning\2026-08-03_04-33-48_1229052</t>
        </is>
      </c>
      <c r="I81" t="n">
        <v>460101</v>
      </c>
      <c r="J81" t="inlineStr">
        <is>
          <t>9,6</t>
        </is>
      </c>
      <c r="K81" t="n">
        <v>8</v>
      </c>
      <c r="M81" t="inlineStr">
        <is>
          <t>hybrid</t>
        </is>
      </c>
      <c r="N81" t="inlineStr">
        <is>
          <t>Yes</t>
        </is>
      </c>
      <c r="O81" t="n">
        <v>0.1</v>
      </c>
      <c r="P81" t="n">
        <v>20</v>
      </c>
      <c r="Q81" t="inlineStr">
        <is>
          <t>sweep2/g5_mix_66-96_H6_s3000.pth</t>
        </is>
      </c>
      <c r="R81" t="n">
        <v>0.03</v>
      </c>
      <c r="S81" t="inlineStr">
        <is>
          <t>Done</t>
        </is>
      </c>
      <c r="V81">
        <f>HYPERLINK("c:\users\omer\rl-qecc-data\reinforcementLearning\2026-08-03_04-33-48_1229052\postProcessing.png","plot")</f>
        <v/>
      </c>
      <c r="W81">
        <f>HYPERLINK("c:\users\omer\rl-qecc-data\reinforcementLearning\2026-08-03_04-33-48_1229052\experiment_9_6_seed_460101","experiment.txt")</f>
        <v/>
      </c>
    </row>
    <row r="82">
      <c r="H82" t="inlineStr">
        <is>
          <t>c:/users/omer/rl-qecc-data/reinforcementLearning\2026-08-03_04-33-53_1229089</t>
        </is>
      </c>
      <c r="I82" t="n">
        <v>7134066</v>
      </c>
      <c r="J82" t="inlineStr">
        <is>
          <t>9,6</t>
        </is>
      </c>
      <c r="K82" t="n">
        <v>8</v>
      </c>
      <c r="M82" t="inlineStr">
        <is>
          <t>hybrid</t>
        </is>
      </c>
      <c r="N82" t="inlineStr">
        <is>
          <t>Yes</t>
        </is>
      </c>
      <c r="O82" t="n">
        <v>0.1</v>
      </c>
      <c r="P82" t="n">
        <v>20</v>
      </c>
      <c r="Q82" t="inlineStr">
        <is>
          <t>sweep2/g5_mix_66-96_H6_s3000.pth</t>
        </is>
      </c>
      <c r="R82" t="n">
        <v>0.03</v>
      </c>
      <c r="S82" t="inlineStr">
        <is>
          <t>Done</t>
        </is>
      </c>
      <c r="V82">
        <f>HYPERLINK("c:\users\omer\rl-qecc-data\reinforcementLearning\2026-08-03_04-33-53_1229089\postProcessing.png","plot")</f>
        <v/>
      </c>
      <c r="W82">
        <f>HYPERLINK("c:\users\omer\rl-qecc-data\reinforcementLearning\2026-08-03_04-33-53_1229089\experiment_9_6_seed_7134066","experiment.txt")</f>
        <v/>
      </c>
    </row>
    <row r="83">
      <c r="H83" t="inlineStr">
        <is>
          <t>c:/users/omer/rl-qecc-data/reinforcementLearning\2026-08-03_04-33-56_1229157</t>
        </is>
      </c>
      <c r="I83" t="n">
        <v>999</v>
      </c>
      <c r="J83" t="inlineStr">
        <is>
          <t>9,6</t>
        </is>
      </c>
      <c r="K83" t="n">
        <v>8</v>
      </c>
      <c r="M83" t="inlineStr">
        <is>
          <t>hybrid</t>
        </is>
      </c>
      <c r="N83" t="inlineStr">
        <is>
          <t>Yes</t>
        </is>
      </c>
      <c r="O83" t="n">
        <v>0.1</v>
      </c>
      <c r="P83" t="n">
        <v>20</v>
      </c>
      <c r="Q83" t="inlineStr">
        <is>
          <t>sweep2/g5_mix_66-96_H6_s3000.pth</t>
        </is>
      </c>
      <c r="R83" t="n">
        <v>0.03</v>
      </c>
      <c r="S83" t="inlineStr">
        <is>
          <t>Done</t>
        </is>
      </c>
      <c r="V83">
        <f>HYPERLINK("c:\users\omer\rl-qecc-data\reinforcementLearning\2026-08-03_04-33-56_1229157\postProcessing.png","plot")</f>
        <v/>
      </c>
      <c r="W83">
        <f>HYPERLINK("c:\users\omer\rl-qecc-data\reinforcementLearning\2026-08-03_04-33-56_1229157\experiment_9_6_seed_999","experiment.txt")</f>
        <v/>
      </c>
    </row>
    <row r="84">
      <c r="H84" t="inlineStr">
        <is>
          <t>c:/users/omer/rl-qecc-data/reinforcementLearning\2026-08-03_04-33-59_1229210</t>
        </is>
      </c>
      <c r="I84" t="n">
        <v>67</v>
      </c>
      <c r="J84" t="inlineStr">
        <is>
          <t>9,6</t>
        </is>
      </c>
      <c r="K84" t="n">
        <v>8</v>
      </c>
      <c r="M84" t="inlineStr">
        <is>
          <t>hybrid</t>
        </is>
      </c>
      <c r="N84" t="inlineStr">
        <is>
          <t>Yes</t>
        </is>
      </c>
      <c r="O84" t="n">
        <v>0.1</v>
      </c>
      <c r="P84" t="n">
        <v>20</v>
      </c>
      <c r="Q84" t="inlineStr">
        <is>
          <t>sweep2/g5_mix_66-96_H6_s3000.pth</t>
        </is>
      </c>
      <c r="R84" t="n">
        <v>0.03</v>
      </c>
      <c r="S84" t="inlineStr">
        <is>
          <t>Done</t>
        </is>
      </c>
      <c r="V84">
        <f>HYPERLINK("c:\users\omer\rl-qecc-data\reinforcementLearning\2026-08-03_04-33-59_1229210\postProcessing.png","plot")</f>
        <v/>
      </c>
      <c r="W84">
        <f>HYPERLINK("c:\users\omer\rl-qecc-data\reinforcementLearning\2026-08-03_04-33-59_1229210\experiment_9_6_seed_67","experiment.txt")</f>
        <v/>
      </c>
    </row>
    <row r="85">
      <c r="H85" t="inlineStr">
        <is>
          <t>c:/users/omer/rl-qecc-data/reinforcementLearning\2026-08-03_11-36-46_526674</t>
        </is>
      </c>
      <c r="I85" t="n">
        <v>90210</v>
      </c>
      <c r="J85" t="inlineStr">
        <is>
          <t>9,6</t>
        </is>
      </c>
      <c r="K85" t="n">
        <v>8</v>
      </c>
      <c r="M85" t="inlineStr">
        <is>
          <t>hybrid</t>
        </is>
      </c>
      <c r="N85" t="inlineStr">
        <is>
          <t>Yes</t>
        </is>
      </c>
      <c r="O85" t="n">
        <v>0.1</v>
      </c>
      <c r="P85" t="n">
        <v>20</v>
      </c>
      <c r="Q85" t="inlineStr">
        <is>
          <t>sweep2/g5_mix_66-96_H4_s4000.pth</t>
        </is>
      </c>
      <c r="R85" t="n">
        <v>0.03</v>
      </c>
      <c r="S85" t="inlineStr">
        <is>
          <t>Done</t>
        </is>
      </c>
      <c r="V85">
        <f>HYPERLINK("c:\users\omer\rl-qecc-data\reinforcementLearning\2026-08-03_11-36-46_526674\postProcessing.png","plot")</f>
        <v/>
      </c>
      <c r="W85">
        <f>HYPERLINK("c:\users\omer\rl-qecc-data\reinforcementLearning\2026-08-03_11-36-46_526674\experiment_9_6_seed_90210","experiment.txt")</f>
        <v/>
      </c>
    </row>
    <row r="86">
      <c r="H86" t="inlineStr">
        <is>
          <t>c:/users/omer/rl-qecc-data/reinforcementLearning\2026-08-03_11-36-46_526701</t>
        </is>
      </c>
      <c r="I86" t="n">
        <v>466555</v>
      </c>
      <c r="J86" t="inlineStr">
        <is>
          <t>9,6</t>
        </is>
      </c>
      <c r="K86" t="n">
        <v>8</v>
      </c>
      <c r="M86" t="inlineStr">
        <is>
          <t>hybrid</t>
        </is>
      </c>
      <c r="N86" t="inlineStr">
        <is>
          <t>Yes</t>
        </is>
      </c>
      <c r="O86" t="n">
        <v>0.1</v>
      </c>
      <c r="P86" t="n">
        <v>20</v>
      </c>
      <c r="Q86" t="inlineStr">
        <is>
          <t>sweep2/g5_mix_66-96_H4_s4000.pth</t>
        </is>
      </c>
      <c r="R86" t="n">
        <v>0.03</v>
      </c>
      <c r="S86" t="inlineStr">
        <is>
          <t>Done</t>
        </is>
      </c>
      <c r="V86">
        <f>HYPERLINK("c:\users\omer\rl-qecc-data\reinforcementLearning\2026-08-03_11-36-46_526701\postProcessing.png","plot")</f>
        <v/>
      </c>
      <c r="W86">
        <f>HYPERLINK("c:\users\omer\rl-qecc-data\reinforcementLearning\2026-08-03_11-36-46_526701\experiment_9_6_seed_466555","experiment.txt")</f>
        <v/>
      </c>
    </row>
    <row r="87">
      <c r="H87" t="inlineStr">
        <is>
          <t>c:/users/omer/rl-qecc-data/reinforcementLearning\2026-08-03_11-36-46_526729</t>
        </is>
      </c>
      <c r="I87" t="n">
        <v>460101</v>
      </c>
      <c r="J87" t="inlineStr">
        <is>
          <t>9,6</t>
        </is>
      </c>
      <c r="K87" t="n">
        <v>8</v>
      </c>
      <c r="M87" t="inlineStr">
        <is>
          <t>hybrid</t>
        </is>
      </c>
      <c r="N87" t="inlineStr">
        <is>
          <t>Yes</t>
        </is>
      </c>
      <c r="O87" t="n">
        <v>0.1</v>
      </c>
      <c r="P87" t="n">
        <v>20</v>
      </c>
      <c r="Q87" t="inlineStr">
        <is>
          <t>sweep2/g5_mix_66-96_H4_s4000.pth</t>
        </is>
      </c>
      <c r="R87" t="n">
        <v>0.03</v>
      </c>
      <c r="S87" t="inlineStr">
        <is>
          <t>Done</t>
        </is>
      </c>
      <c r="V87">
        <f>HYPERLINK("c:\users\omer\rl-qecc-data\reinforcementLearning\2026-08-03_11-36-46_526729\postProcessing.png","plot")</f>
        <v/>
      </c>
      <c r="W87">
        <f>HYPERLINK("c:\users\omer\rl-qecc-data\reinforcementLearning\2026-08-03_11-36-46_526729\experiment_9_6_seed_460101","experiment.txt")</f>
        <v/>
      </c>
    </row>
    <row r="88">
      <c r="H88" t="inlineStr">
        <is>
          <t>c:/users/omer/rl-qecc-data/reinforcementLearning\2026-08-03_11-36-46_526756</t>
        </is>
      </c>
      <c r="I88" t="n">
        <v>7134066</v>
      </c>
      <c r="J88" t="inlineStr">
        <is>
          <t>9,6</t>
        </is>
      </c>
      <c r="K88" t="n">
        <v>8</v>
      </c>
      <c r="M88" t="inlineStr">
        <is>
          <t>hybrid</t>
        </is>
      </c>
      <c r="N88" t="inlineStr">
        <is>
          <t>Yes</t>
        </is>
      </c>
      <c r="O88" t="n">
        <v>0.1</v>
      </c>
      <c r="P88" t="n">
        <v>20</v>
      </c>
      <c r="Q88" t="inlineStr">
        <is>
          <t>sweep2/g5_mix_66-96_H4_s4000.pth</t>
        </is>
      </c>
      <c r="R88" t="n">
        <v>0.03</v>
      </c>
      <c r="S88" t="inlineStr">
        <is>
          <t>Done</t>
        </is>
      </c>
      <c r="V88">
        <f>HYPERLINK("c:\users\omer\rl-qecc-data\reinforcementLearning\2026-08-03_11-36-46_526756\postProcessing.png","plot")</f>
        <v/>
      </c>
      <c r="W88">
        <f>HYPERLINK("c:\users\omer\rl-qecc-data\reinforcementLearning\2026-08-03_11-36-46_526756\experiment_9_6_seed_7134066","experiment.txt")</f>
        <v/>
      </c>
    </row>
    <row r="89">
      <c r="H89" t="inlineStr">
        <is>
          <t>c:/users/omer/rl-qecc-data/reinforcementLearning\2026-08-03_11-36-46_526783</t>
        </is>
      </c>
      <c r="I89" t="n">
        <v>999</v>
      </c>
      <c r="J89" t="inlineStr">
        <is>
          <t>9,6</t>
        </is>
      </c>
      <c r="K89" t="n">
        <v>8</v>
      </c>
      <c r="M89" t="inlineStr">
        <is>
          <t>hybrid</t>
        </is>
      </c>
      <c r="N89" t="inlineStr">
        <is>
          <t>Yes</t>
        </is>
      </c>
      <c r="O89" t="n">
        <v>0.1</v>
      </c>
      <c r="P89" t="n">
        <v>20</v>
      </c>
      <c r="Q89" t="inlineStr">
        <is>
          <t>sweep2/g5_mix_66-96_H4_s4000.pth</t>
        </is>
      </c>
      <c r="R89" t="n">
        <v>0.03</v>
      </c>
      <c r="S89" t="inlineStr">
        <is>
          <t>Done</t>
        </is>
      </c>
      <c r="V89">
        <f>HYPERLINK("c:\users\omer\rl-qecc-data\reinforcementLearning\2026-08-03_11-36-46_526783\postProcessing.png","plot")</f>
        <v/>
      </c>
      <c r="W89">
        <f>HYPERLINK("c:\users\omer\rl-qecc-data\reinforcementLearning\2026-08-03_11-36-46_526783\experiment_9_6_seed_999","experiment.txt")</f>
        <v/>
      </c>
    </row>
    <row r="90">
      <c r="H90" t="inlineStr">
        <is>
          <t>c:/users/omer/rl-qecc-data/reinforcementLearning\2026-08-03_11-36-46_526813</t>
        </is>
      </c>
      <c r="I90" t="n">
        <v>67</v>
      </c>
      <c r="J90" t="inlineStr">
        <is>
          <t>9,6</t>
        </is>
      </c>
      <c r="K90" t="n">
        <v>8</v>
      </c>
      <c r="M90" t="inlineStr">
        <is>
          <t>hybrid</t>
        </is>
      </c>
      <c r="N90" t="inlineStr">
        <is>
          <t>Yes</t>
        </is>
      </c>
      <c r="O90" t="n">
        <v>0.1</v>
      </c>
      <c r="P90" t="n">
        <v>20</v>
      </c>
      <c r="Q90" t="inlineStr">
        <is>
          <t>sweep2/g5_mix_66-96_H4_s4000.pth</t>
        </is>
      </c>
      <c r="R90" t="n">
        <v>0.03</v>
      </c>
      <c r="S90" t="inlineStr">
        <is>
          <t>Done</t>
        </is>
      </c>
      <c r="V90">
        <f>HYPERLINK("c:\users\omer\rl-qecc-data\reinforcementLearning\2026-08-03_11-36-46_526813\postProcessing.png","plot")</f>
        <v/>
      </c>
      <c r="W90">
        <f>HYPERLINK("c:\users\omer\rl-qecc-data\reinforcementLearning\2026-08-03_11-36-46_526813\experiment_9_6_seed_67","experiment.txt")</f>
        <v/>
      </c>
    </row>
    <row r="91">
      <c r="H91" t="inlineStr">
        <is>
          <t>c:/users/omer/rl-qecc-data/reinforcementLearning\2026-08-03_19-28-13_225320</t>
        </is>
      </c>
      <c r="I91" t="n">
        <v>90210</v>
      </c>
      <c r="J91" t="inlineStr">
        <is>
          <t>9,6</t>
        </is>
      </c>
      <c r="K91" t="n">
        <v>8</v>
      </c>
      <c r="M91" t="inlineStr">
        <is>
          <t>hybrid</t>
        </is>
      </c>
      <c r="N91" t="inlineStr">
        <is>
          <t>Yes</t>
        </is>
      </c>
      <c r="O91" t="n">
        <v>0.1</v>
      </c>
      <c r="P91" t="n">
        <v>20</v>
      </c>
      <c r="Q91" t="inlineStr">
        <is>
          <t>sweep2/g5_mix_66-96_H10_s2000.pth</t>
        </is>
      </c>
      <c r="R91" t="n">
        <v>0.03</v>
      </c>
      <c r="S91" t="inlineStr">
        <is>
          <t>Done</t>
        </is>
      </c>
      <c r="V91">
        <f>HYPERLINK("c:\users\omer\rl-qecc-data\reinforcementLearning\2026-08-03_19-28-13_225320\postProcessing.png","plot")</f>
        <v/>
      </c>
      <c r="W91">
        <f>HYPERLINK("c:\users\omer\rl-qecc-data\reinforcementLearning\2026-08-03_19-28-13_225320\experiment_9_6_seed_90210","experiment.txt")</f>
        <v/>
      </c>
    </row>
    <row r="92">
      <c r="H92" t="inlineStr">
        <is>
          <t>c:/users/omer/rl-qecc-data/reinforcementLearning\2026-08-03_19-28-13_225353</t>
        </is>
      </c>
      <c r="I92" t="n">
        <v>466555</v>
      </c>
      <c r="J92" t="inlineStr">
        <is>
          <t>9,6</t>
        </is>
      </c>
      <c r="K92" t="n">
        <v>8</v>
      </c>
      <c r="M92" t="inlineStr">
        <is>
          <t>hybrid</t>
        </is>
      </c>
      <c r="N92" t="inlineStr">
        <is>
          <t>Yes</t>
        </is>
      </c>
      <c r="O92" t="n">
        <v>0.1</v>
      </c>
      <c r="P92" t="n">
        <v>20</v>
      </c>
      <c r="Q92" t="inlineStr">
        <is>
          <t>sweep2/g5_mix_66-96_H10_s2000.pth</t>
        </is>
      </c>
      <c r="R92" t="n">
        <v>0.03</v>
      </c>
      <c r="S92" t="inlineStr">
        <is>
          <t>Done</t>
        </is>
      </c>
      <c r="V92">
        <f>HYPERLINK("c:\users\omer\rl-qecc-data\reinforcementLearning\2026-08-03_19-28-13_225353\postProcessing.png","plot")</f>
        <v/>
      </c>
      <c r="W92">
        <f>HYPERLINK("c:\users\omer\rl-qecc-data\reinforcementLearning\2026-08-03_19-28-13_225353\experiment_9_6_seed_466555","experiment.txt")</f>
        <v/>
      </c>
    </row>
    <row r="93">
      <c r="H93" t="inlineStr">
        <is>
          <t>c:/users/omer/rl-qecc-data/reinforcementLearning\2026-08-03_19-28-13_225379</t>
        </is>
      </c>
      <c r="I93" t="n">
        <v>460101</v>
      </c>
      <c r="J93" t="inlineStr">
        <is>
          <t>9,6</t>
        </is>
      </c>
      <c r="K93" t="n">
        <v>8</v>
      </c>
      <c r="M93" t="inlineStr">
        <is>
          <t>hybrid</t>
        </is>
      </c>
      <c r="N93" t="inlineStr">
        <is>
          <t>Yes</t>
        </is>
      </c>
      <c r="O93" t="n">
        <v>0.1</v>
      </c>
      <c r="P93" t="n">
        <v>20</v>
      </c>
      <c r="Q93" t="inlineStr">
        <is>
          <t>sweep2/g5_mix_66-96_H10_s2000.pth</t>
        </is>
      </c>
      <c r="R93" t="n">
        <v>0.03</v>
      </c>
      <c r="S93" t="inlineStr">
        <is>
          <t>Done</t>
        </is>
      </c>
      <c r="V93">
        <f>HYPERLINK("c:\users\omer\rl-qecc-data\reinforcementLearning\2026-08-03_19-28-13_225379\postProcessing.png","plot")</f>
        <v/>
      </c>
      <c r="W93">
        <f>HYPERLINK("c:\users\omer\rl-qecc-data\reinforcementLearning\2026-08-03_19-28-13_225379\experiment_9_6_seed_460101","experiment.txt")</f>
        <v/>
      </c>
    </row>
    <row r="94">
      <c r="H94" t="inlineStr">
        <is>
          <t>c:/users/omer/rl-qecc-data/reinforcementLearning\2026-08-03_19-28-13_225405</t>
        </is>
      </c>
      <c r="I94" t="n">
        <v>7134066</v>
      </c>
      <c r="J94" t="inlineStr">
        <is>
          <t>9,6</t>
        </is>
      </c>
      <c r="K94" t="n">
        <v>8</v>
      </c>
      <c r="M94" t="inlineStr">
        <is>
          <t>hybrid</t>
        </is>
      </c>
      <c r="N94" t="inlineStr">
        <is>
          <t>Yes</t>
        </is>
      </c>
      <c r="O94" t="n">
        <v>0.1</v>
      </c>
      <c r="P94" t="n">
        <v>20</v>
      </c>
      <c r="Q94" t="inlineStr">
        <is>
          <t>sweep2/g5_mix_66-96_H10_s2000.pth</t>
        </is>
      </c>
      <c r="R94" t="n">
        <v>0.03</v>
      </c>
      <c r="S94" t="inlineStr">
        <is>
          <t>Done</t>
        </is>
      </c>
      <c r="V94">
        <f>HYPERLINK("c:\users\omer\rl-qecc-data\reinforcementLearning\2026-08-03_19-28-13_225405\postProcessing.png","plot")</f>
        <v/>
      </c>
      <c r="W94">
        <f>HYPERLINK("c:\users\omer\rl-qecc-data\reinforcementLearning\2026-08-03_19-28-13_225405\experiment_9_6_seed_7134066","experiment.txt")</f>
        <v/>
      </c>
    </row>
    <row r="95">
      <c r="H95" t="inlineStr">
        <is>
          <t>c:/users/omer/rl-qecc-data/reinforcementLearning\2026-08-03_19-28-13_225431</t>
        </is>
      </c>
      <c r="I95" t="n">
        <v>999</v>
      </c>
      <c r="J95" t="inlineStr">
        <is>
          <t>9,6</t>
        </is>
      </c>
      <c r="K95" t="n">
        <v>8</v>
      </c>
      <c r="M95" t="inlineStr">
        <is>
          <t>hybrid</t>
        </is>
      </c>
      <c r="N95" t="inlineStr">
        <is>
          <t>Yes</t>
        </is>
      </c>
      <c r="O95" t="n">
        <v>0.1</v>
      </c>
      <c r="P95" t="n">
        <v>20</v>
      </c>
      <c r="Q95" t="inlineStr">
        <is>
          <t>sweep2/g5_mix_66-96_H10_s2000.pth</t>
        </is>
      </c>
      <c r="R95" t="n">
        <v>0.03</v>
      </c>
      <c r="S95" t="inlineStr">
        <is>
          <t>Done</t>
        </is>
      </c>
      <c r="V95">
        <f>HYPERLINK("c:\users\omer\rl-qecc-data\reinforcementLearning\2026-08-03_19-28-13_225431\postProcessing.png","plot")</f>
        <v/>
      </c>
      <c r="W95">
        <f>HYPERLINK("c:\users\omer\rl-qecc-data\reinforcementLearning\2026-08-03_19-28-13_225431\experiment_9_6_seed_999","experiment.txt")</f>
        <v/>
      </c>
    </row>
    <row r="96">
      <c r="H96" t="inlineStr">
        <is>
          <t>c:/users/omer/rl-qecc-data/reinforcementLearning\2026-08-03_19-28-13_225458</t>
        </is>
      </c>
      <c r="I96" t="n">
        <v>67</v>
      </c>
      <c r="J96" t="inlineStr">
        <is>
          <t>9,6</t>
        </is>
      </c>
      <c r="K96" t="n">
        <v>8</v>
      </c>
      <c r="M96" t="inlineStr">
        <is>
          <t>hybrid</t>
        </is>
      </c>
      <c r="N96" t="inlineStr">
        <is>
          <t>Yes</t>
        </is>
      </c>
      <c r="O96" t="n">
        <v>0.1</v>
      </c>
      <c r="P96" t="n">
        <v>20</v>
      </c>
      <c r="Q96" t="inlineStr">
        <is>
          <t>sweep2/g5_mix_66-96_H10_s2000.pth</t>
        </is>
      </c>
      <c r="R96" t="n">
        <v>0.03</v>
      </c>
      <c r="S96" t="inlineStr">
        <is>
          <t>Done</t>
        </is>
      </c>
      <c r="V96">
        <f>HYPERLINK("c:\users\omer\rl-qecc-data\reinforcementLearning\2026-08-03_19-28-13_225458\postProcessing.png","plot")</f>
        <v/>
      </c>
      <c r="W96">
        <f>HYPERLINK("c:\users\omer\rl-qecc-data\reinforcementLearning\2026-08-03_19-28-13_225458\experiment_9_6_seed_67","experiment.txt")</f>
        <v/>
      </c>
    </row>
    <row r="97">
      <c r="H97" t="inlineStr">
        <is>
          <t>c:/users/omer/rl-qecc-data/reinforcementLearning\2026-08-03_19-34-11_1777424</t>
        </is>
      </c>
      <c r="I97" t="n">
        <v>90210</v>
      </c>
      <c r="J97" t="inlineStr">
        <is>
          <t>9,6</t>
        </is>
      </c>
      <c r="K97" t="n">
        <v>8</v>
      </c>
      <c r="M97" t="inlineStr">
        <is>
          <t>hybrid</t>
        </is>
      </c>
      <c r="N97" t="inlineStr">
        <is>
          <t>Yes</t>
        </is>
      </c>
      <c r="O97" t="n">
        <v>0.1</v>
      </c>
      <c r="P97" t="n">
        <v>20</v>
      </c>
      <c r="Q97" t="inlineStr">
        <is>
          <t>sweep2/g5_mix_66-96_H7_s54321.pth</t>
        </is>
      </c>
      <c r="R97" t="n">
        <v>0.03</v>
      </c>
      <c r="S97" t="inlineStr">
        <is>
          <t>Done</t>
        </is>
      </c>
      <c r="V97">
        <f>HYPERLINK("c:\users\omer\rl-qecc-data\reinforcementLearning\2026-08-03_19-34-11_1777424\postProcessing.png","plot")</f>
        <v/>
      </c>
      <c r="W97">
        <f>HYPERLINK("c:\users\omer\rl-qecc-data\reinforcementLearning\2026-08-03_19-34-11_1777424\experiment_9_6_seed_90210","experiment.txt")</f>
        <v/>
      </c>
    </row>
    <row r="98">
      <c r="H98" t="inlineStr">
        <is>
          <t>c:/users/omer/rl-qecc-data/reinforcementLearning\2026-08-03_19-34-11_1777453</t>
        </is>
      </c>
      <c r="I98" t="n">
        <v>466555</v>
      </c>
      <c r="J98" t="inlineStr">
        <is>
          <t>9,6</t>
        </is>
      </c>
      <c r="K98" t="n">
        <v>8</v>
      </c>
      <c r="M98" t="inlineStr">
        <is>
          <t>hybrid</t>
        </is>
      </c>
      <c r="N98" t="inlineStr">
        <is>
          <t>Yes</t>
        </is>
      </c>
      <c r="O98" t="n">
        <v>0.1</v>
      </c>
      <c r="P98" t="n">
        <v>20</v>
      </c>
      <c r="Q98" t="inlineStr">
        <is>
          <t>sweep2/g5_mix_66-96_H7_s54321.pth</t>
        </is>
      </c>
      <c r="R98" t="n">
        <v>0.03</v>
      </c>
      <c r="S98" t="inlineStr">
        <is>
          <t>Done</t>
        </is>
      </c>
      <c r="V98">
        <f>HYPERLINK("c:\users\omer\rl-qecc-data\reinforcementLearning\2026-08-03_19-34-11_1777453\postProcessing.png","plot")</f>
        <v/>
      </c>
      <c r="W98">
        <f>HYPERLINK("c:\users\omer\rl-qecc-data\reinforcementLearning\2026-08-03_19-34-11_1777453\experiment_9_6_seed_466555","experiment.txt")</f>
        <v/>
      </c>
    </row>
    <row r="99">
      <c r="H99" t="inlineStr">
        <is>
          <t>c:/users/omer/rl-qecc-data/reinforcementLearning\2026-08-03_19-34-11_1777491</t>
        </is>
      </c>
      <c r="I99" t="n">
        <v>460101</v>
      </c>
      <c r="J99" t="inlineStr">
        <is>
          <t>9,6</t>
        </is>
      </c>
      <c r="K99" t="n">
        <v>8</v>
      </c>
      <c r="M99" t="inlineStr">
        <is>
          <t>hybrid</t>
        </is>
      </c>
      <c r="N99" t="inlineStr">
        <is>
          <t>Yes</t>
        </is>
      </c>
      <c r="O99" t="n">
        <v>0.1</v>
      </c>
      <c r="P99" t="n">
        <v>20</v>
      </c>
      <c r="Q99" t="inlineStr">
        <is>
          <t>sweep2/g5_mix_66-96_H7_s54321.pth</t>
        </is>
      </c>
      <c r="R99" t="n">
        <v>0.03</v>
      </c>
      <c r="S99" t="inlineStr">
        <is>
          <t>Done</t>
        </is>
      </c>
      <c r="V99">
        <f>HYPERLINK("c:\users\omer\rl-qecc-data\reinforcementLearning\2026-08-03_19-34-11_1777491\postProcessing.png","plot")</f>
        <v/>
      </c>
      <c r="W99">
        <f>HYPERLINK("c:\users\omer\rl-qecc-data\reinforcementLearning\2026-08-03_19-34-11_1777491\experiment_9_6_seed_460101","experiment.txt")</f>
        <v/>
      </c>
    </row>
    <row r="100">
      <c r="H100" t="inlineStr">
        <is>
          <t>c:/users/omer/rl-qecc-data/reinforcementLearning\2026-08-03_19-34-11_1777526</t>
        </is>
      </c>
      <c r="I100" t="n">
        <v>7134066</v>
      </c>
      <c r="J100" t="inlineStr">
        <is>
          <t>9,6</t>
        </is>
      </c>
      <c r="K100" t="n">
        <v>8</v>
      </c>
      <c r="M100" t="inlineStr">
        <is>
          <t>hybrid</t>
        </is>
      </c>
      <c r="N100" t="inlineStr">
        <is>
          <t>Yes</t>
        </is>
      </c>
      <c r="O100" t="n">
        <v>0.1</v>
      </c>
      <c r="P100" t="n">
        <v>20</v>
      </c>
      <c r="Q100" t="inlineStr">
        <is>
          <t>sweep2/g5_mix_66-96_H7_s54321.pth</t>
        </is>
      </c>
      <c r="R100" t="n">
        <v>0.03</v>
      </c>
      <c r="S100" t="inlineStr">
        <is>
          <t>Done</t>
        </is>
      </c>
      <c r="V100">
        <f>HYPERLINK("c:\users\omer\rl-qecc-data\reinforcementLearning\2026-08-03_19-34-11_1777526\postProcessing.png","plot")</f>
        <v/>
      </c>
      <c r="W100">
        <f>HYPERLINK("c:\users\omer\rl-qecc-data\reinforcementLearning\2026-08-03_19-34-11_1777526\experiment_9_6_seed_7134066","experiment.txt")</f>
        <v/>
      </c>
    </row>
    <row r="101">
      <c r="H101" t="inlineStr">
        <is>
          <t>c:/users/omer/rl-qecc-data/reinforcementLearning\2026-08-03_19-34-15_1777554</t>
        </is>
      </c>
      <c r="I101" t="n">
        <v>999</v>
      </c>
      <c r="J101" t="inlineStr">
        <is>
          <t>9,6</t>
        </is>
      </c>
      <c r="K101" t="n">
        <v>8</v>
      </c>
      <c r="M101" t="inlineStr">
        <is>
          <t>hybrid</t>
        </is>
      </c>
      <c r="N101" t="inlineStr">
        <is>
          <t>Yes</t>
        </is>
      </c>
      <c r="O101" t="n">
        <v>0.1</v>
      </c>
      <c r="P101" t="n">
        <v>20</v>
      </c>
      <c r="Q101" t="inlineStr">
        <is>
          <t>sweep2/g5_mix_66-96_H7_s54321.pth</t>
        </is>
      </c>
      <c r="R101" t="n">
        <v>0.03</v>
      </c>
      <c r="S101" t="inlineStr">
        <is>
          <t>Done</t>
        </is>
      </c>
      <c r="V101">
        <f>HYPERLINK("c:\users\omer\rl-qecc-data\reinforcementLearning\2026-08-03_19-34-15_1777554\postProcessing.png","plot")</f>
        <v/>
      </c>
      <c r="W101">
        <f>HYPERLINK("c:\users\omer\rl-qecc-data\reinforcementLearning\2026-08-03_19-34-15_1777554\experiment_9_6_seed_999","experiment.txt")</f>
        <v/>
      </c>
    </row>
    <row r="102">
      <c r="H102" t="inlineStr">
        <is>
          <t>c:/users/omer/rl-qecc-data/reinforcementLearning\2026-08-03_19-34-19_1777589</t>
        </is>
      </c>
      <c r="I102" t="n">
        <v>67</v>
      </c>
      <c r="J102" t="inlineStr">
        <is>
          <t>9,6</t>
        </is>
      </c>
      <c r="K102" t="n">
        <v>8</v>
      </c>
      <c r="M102" t="inlineStr">
        <is>
          <t>hybrid</t>
        </is>
      </c>
      <c r="N102" t="inlineStr">
        <is>
          <t>Yes</t>
        </is>
      </c>
      <c r="O102" t="n">
        <v>0.1</v>
      </c>
      <c r="P102" t="n">
        <v>20</v>
      </c>
      <c r="Q102" t="inlineStr">
        <is>
          <t>sweep2/g5_mix_66-96_H7_s54321.pth</t>
        </is>
      </c>
      <c r="R102" t="n">
        <v>0.03</v>
      </c>
      <c r="S102" t="inlineStr">
        <is>
          <t>Done</t>
        </is>
      </c>
      <c r="V102">
        <f>HYPERLINK("c:\users\omer\rl-qecc-data\reinforcementLearning\2026-08-03_19-34-19_1777589\postProcessing.png","plot")</f>
        <v/>
      </c>
      <c r="W102">
        <f>HYPERLINK("c:\users\omer\rl-qecc-data\reinforcementLearning\2026-08-03_19-34-19_1777589\experiment_9_6_seed_67","experiment.txt")</f>
        <v/>
      </c>
    </row>
    <row r="103">
      <c r="H103" t="inlineStr">
        <is>
          <t>c:/users/omer/rl-qecc-data/reinforcementLearning\2026-08-05_11-56-40_1417601</t>
        </is>
      </c>
      <c r="I103" t="n">
        <v>90210</v>
      </c>
      <c r="J103" t="inlineStr">
        <is>
          <t>9,6</t>
        </is>
      </c>
      <c r="K103" t="n">
        <v>8</v>
      </c>
      <c r="M103" t="inlineStr">
        <is>
          <t>hybrid</t>
        </is>
      </c>
      <c r="N103" t="inlineStr">
        <is>
          <t>Yes</t>
        </is>
      </c>
      <c r="O103" t="n">
        <v>0.1</v>
      </c>
      <c r="P103" t="n">
        <v>20</v>
      </c>
      <c r="Q103" t="inlineStr">
        <is>
          <t>sweep2/g5_mix_66-96_H6_s3000.pth</t>
        </is>
      </c>
      <c r="R103" t="n">
        <v>0.03</v>
      </c>
      <c r="S103" t="inlineStr">
        <is>
          <t>Done</t>
        </is>
      </c>
      <c r="V103">
        <f>HYPERLINK("c:\users\omer\rl-qecc-data\reinforcementLearning\2026-08-05_11-56-40_1417601\postProcessing.png","plot")</f>
        <v/>
      </c>
      <c r="W103">
        <f>HYPERLINK("c:\users\omer\rl-qecc-data\reinforcementLearning\2026-08-05_11-56-40_1417601\experiment_9_6_seed_90210","experiment.txt")</f>
        <v/>
      </c>
    </row>
    <row r="104">
      <c r="H104" t="inlineStr">
        <is>
          <t>c:/users/omer/rl-qecc-data/reinforcementLearning\2026-08-05_11-56-40_1417629</t>
        </is>
      </c>
      <c r="I104" t="n">
        <v>466555</v>
      </c>
      <c r="J104" t="inlineStr">
        <is>
          <t>9,6</t>
        </is>
      </c>
      <c r="K104" t="n">
        <v>8</v>
      </c>
      <c r="M104" t="inlineStr">
        <is>
          <t>hybrid</t>
        </is>
      </c>
      <c r="N104" t="inlineStr">
        <is>
          <t>Yes</t>
        </is>
      </c>
      <c r="O104" t="n">
        <v>0.1</v>
      </c>
      <c r="P104" t="n">
        <v>20</v>
      </c>
      <c r="Q104" t="inlineStr">
        <is>
          <t>sweep2/g5_mix_66-96_H6_s3000.pth</t>
        </is>
      </c>
      <c r="R104" t="n">
        <v>0.03</v>
      </c>
      <c r="S104" t="inlineStr">
        <is>
          <t>Done</t>
        </is>
      </c>
      <c r="V104">
        <f>HYPERLINK("c:\users\omer\rl-qecc-data\reinforcementLearning\2026-08-05_11-56-40_1417629\postProcessing.png","plot")</f>
        <v/>
      </c>
      <c r="W104">
        <f>HYPERLINK("c:\users\omer\rl-qecc-data\reinforcementLearning\2026-08-05_11-56-40_1417629\experiment_9_6_seed_466555","experiment.txt")</f>
        <v/>
      </c>
    </row>
    <row r="105">
      <c r="H105" t="inlineStr">
        <is>
          <t>c:/users/omer/rl-qecc-data/reinforcementLearning\2026-08-05_11-56-40_1417662</t>
        </is>
      </c>
      <c r="I105" t="n">
        <v>460101</v>
      </c>
      <c r="J105" t="inlineStr">
        <is>
          <t>9,6</t>
        </is>
      </c>
      <c r="K105" t="n">
        <v>8</v>
      </c>
      <c r="M105" t="inlineStr">
        <is>
          <t>hybrid</t>
        </is>
      </c>
      <c r="N105" t="inlineStr">
        <is>
          <t>Yes</t>
        </is>
      </c>
      <c r="O105" t="n">
        <v>0.1</v>
      </c>
      <c r="P105" t="n">
        <v>20</v>
      </c>
      <c r="Q105" t="inlineStr">
        <is>
          <t>sweep2/g5_mix_66-96_H6_s3000.pth</t>
        </is>
      </c>
      <c r="R105" t="n">
        <v>0.03</v>
      </c>
      <c r="S105" t="inlineStr">
        <is>
          <t>Done</t>
        </is>
      </c>
      <c r="V105">
        <f>HYPERLINK("c:\users\omer\rl-qecc-data\reinforcementLearning\2026-08-05_11-56-40_1417662\postProcessing.png","plot")</f>
        <v/>
      </c>
      <c r="W105">
        <f>HYPERLINK("c:\users\omer\rl-qecc-data\reinforcementLearning\2026-08-05_11-56-40_1417662\experiment_9_6_seed_460101","experiment.txt")</f>
        <v/>
      </c>
    </row>
    <row r="106">
      <c r="H106" t="inlineStr">
        <is>
          <t>c:/users/omer/rl-qecc-data/reinforcementLearning\2026-08-05_11-56-42_1417690</t>
        </is>
      </c>
      <c r="I106" t="n">
        <v>7134066</v>
      </c>
      <c r="J106" t="inlineStr">
        <is>
          <t>9,6</t>
        </is>
      </c>
      <c r="K106" t="n">
        <v>8</v>
      </c>
      <c r="M106" t="inlineStr">
        <is>
          <t>hybrid</t>
        </is>
      </c>
      <c r="N106" t="inlineStr">
        <is>
          <t>Yes</t>
        </is>
      </c>
      <c r="O106" t="n">
        <v>0.1</v>
      </c>
      <c r="P106" t="n">
        <v>20</v>
      </c>
      <c r="Q106" t="inlineStr">
        <is>
          <t>sweep2/g5_mix_66-96_H6_s3000.pth</t>
        </is>
      </c>
      <c r="R106" t="n">
        <v>0.03</v>
      </c>
      <c r="S106" t="inlineStr">
        <is>
          <t>Done</t>
        </is>
      </c>
      <c r="V106">
        <f>HYPERLINK("c:\users\omer\rl-qecc-data\reinforcementLearning\2026-08-05_11-56-42_1417690\postProcessing.png","plot")</f>
        <v/>
      </c>
      <c r="W106">
        <f>HYPERLINK("c:\users\omer\rl-qecc-data\reinforcementLearning\2026-08-05_11-56-42_1417690\experiment_9_6_seed_7134066","experiment.txt")</f>
        <v/>
      </c>
    </row>
    <row r="107">
      <c r="H107" t="inlineStr">
        <is>
          <t>c:/users/omer/rl-qecc-data/reinforcementLearning\2026-08-05_11-56-42_1924827</t>
        </is>
      </c>
      <c r="I107" t="n">
        <v>90210</v>
      </c>
      <c r="J107" t="inlineStr">
        <is>
          <t>9,6</t>
        </is>
      </c>
      <c r="K107" t="n">
        <v>8</v>
      </c>
      <c r="M107" t="inlineStr">
        <is>
          <t>hybrid</t>
        </is>
      </c>
      <c r="N107" t="inlineStr">
        <is>
          <t>Yes</t>
        </is>
      </c>
      <c r="O107" t="n">
        <v>0.1</v>
      </c>
      <c r="P107" t="n">
        <v>20</v>
      </c>
      <c r="Q107" t="inlineStr">
        <is>
          <t>sweep2/g5_mix_66-96_H7_s54321.pth</t>
        </is>
      </c>
      <c r="R107" t="n">
        <v>0.03</v>
      </c>
      <c r="S107" t="inlineStr">
        <is>
          <t>Done</t>
        </is>
      </c>
      <c r="V107">
        <f>HYPERLINK("c:\users\omer\rl-qecc-data\reinforcementLearning\2026-08-05_11-56-42_1924827\postProcessing.png","plot")</f>
        <v/>
      </c>
      <c r="W107">
        <f>HYPERLINK("c:\users\omer\rl-qecc-data\reinforcementLearning\2026-08-05_11-56-42_1924827\experiment_9_6_seed_90210","experiment.txt")</f>
        <v/>
      </c>
    </row>
    <row r="108">
      <c r="H108" t="inlineStr">
        <is>
          <t>c:/users/omer/rl-qecc-data/reinforcementLearning\2026-08-05_11-56-42_1924859</t>
        </is>
      </c>
      <c r="I108" t="n">
        <v>466555</v>
      </c>
      <c r="J108" t="inlineStr">
        <is>
          <t>9,6</t>
        </is>
      </c>
      <c r="K108" t="n">
        <v>8</v>
      </c>
      <c r="M108" t="inlineStr">
        <is>
          <t>hybrid</t>
        </is>
      </c>
      <c r="N108" t="inlineStr">
        <is>
          <t>Yes</t>
        </is>
      </c>
      <c r="O108" t="n">
        <v>0.1</v>
      </c>
      <c r="P108" t="n">
        <v>20</v>
      </c>
      <c r="Q108" t="inlineStr">
        <is>
          <t>sweep2/g5_mix_66-96_H7_s54321.pth</t>
        </is>
      </c>
      <c r="R108" t="n">
        <v>0.03</v>
      </c>
      <c r="S108" t="inlineStr">
        <is>
          <t>Done</t>
        </is>
      </c>
      <c r="V108">
        <f>HYPERLINK("c:\users\omer\rl-qecc-data\reinforcementLearning\2026-08-05_11-56-42_1924859\postProcessing.png","plot")</f>
        <v/>
      </c>
      <c r="W108">
        <f>HYPERLINK("c:\users\omer\rl-qecc-data\reinforcementLearning\2026-08-05_11-56-42_1924859\experiment_9_6_seed_466555","experiment.txt")</f>
        <v/>
      </c>
    </row>
    <row r="109">
      <c r="H109" t="inlineStr">
        <is>
          <t>c:/users/omer/rl-qecc-data/reinforcementLearning\2026-08-05_11-56-42_1924887</t>
        </is>
      </c>
      <c r="I109" t="n">
        <v>460101</v>
      </c>
      <c r="J109" t="inlineStr">
        <is>
          <t>9,6</t>
        </is>
      </c>
      <c r="K109" t="n">
        <v>8</v>
      </c>
      <c r="M109" t="inlineStr">
        <is>
          <t>hybrid</t>
        </is>
      </c>
      <c r="N109" t="inlineStr">
        <is>
          <t>Yes</t>
        </is>
      </c>
      <c r="O109" t="n">
        <v>0.1</v>
      </c>
      <c r="P109" t="n">
        <v>20</v>
      </c>
      <c r="Q109" t="inlineStr">
        <is>
          <t>sweep2/g5_mix_66-96_H7_s54321.pth</t>
        </is>
      </c>
      <c r="R109" t="n">
        <v>0.03</v>
      </c>
      <c r="S109" t="inlineStr">
        <is>
          <t>Done</t>
        </is>
      </c>
      <c r="V109">
        <f>HYPERLINK("c:\users\omer\rl-qecc-data\reinforcementLearning\2026-08-05_11-56-42_1924887\postProcessing.png","plot")</f>
        <v/>
      </c>
      <c r="W109">
        <f>HYPERLINK("c:\users\omer\rl-qecc-data\reinforcementLearning\2026-08-05_11-56-42_1924887\experiment_9_6_seed_460101","experiment.txt")</f>
        <v/>
      </c>
    </row>
    <row r="110">
      <c r="H110" t="inlineStr">
        <is>
          <t>c:/users/omer/rl-qecc-data/reinforcementLearning\2026-08-05_11-56-45_1924915</t>
        </is>
      </c>
      <c r="I110" t="n">
        <v>7134066</v>
      </c>
      <c r="J110" t="inlineStr">
        <is>
          <t>9,6</t>
        </is>
      </c>
      <c r="K110" t="n">
        <v>8</v>
      </c>
      <c r="M110" t="inlineStr">
        <is>
          <t>hybrid</t>
        </is>
      </c>
      <c r="N110" t="inlineStr">
        <is>
          <t>Yes</t>
        </is>
      </c>
      <c r="O110" t="n">
        <v>0.1</v>
      </c>
      <c r="P110" t="n">
        <v>20</v>
      </c>
      <c r="Q110" t="inlineStr">
        <is>
          <t>sweep2/g5_mix_66-96_H7_s54321.pth</t>
        </is>
      </c>
      <c r="R110" t="n">
        <v>0.03</v>
      </c>
      <c r="S110" t="inlineStr">
        <is>
          <t>Done</t>
        </is>
      </c>
      <c r="V110">
        <f>HYPERLINK("c:\users\omer\rl-qecc-data\reinforcementLearning\2026-08-05_11-56-45_1924915\postProcessing.png","plot")</f>
        <v/>
      </c>
      <c r="W110">
        <f>HYPERLINK("c:\users\omer\rl-qecc-data\reinforcementLearning\2026-08-05_11-56-45_1924915\experiment_9_6_seed_7134066","experiment.txt")</f>
        <v/>
      </c>
    </row>
    <row r="111">
      <c r="H111" t="inlineStr">
        <is>
          <t>c:/users/omer/rl-qecc-data/reinforcementLearning\2026-08-05_11-56-46_1417727</t>
        </is>
      </c>
      <c r="I111" t="n">
        <v>999</v>
      </c>
      <c r="J111" t="inlineStr">
        <is>
          <t>9,6</t>
        </is>
      </c>
      <c r="K111" t="n">
        <v>8</v>
      </c>
      <c r="M111" t="inlineStr">
        <is>
          <t>hybrid</t>
        </is>
      </c>
      <c r="N111" t="inlineStr">
        <is>
          <t>Yes</t>
        </is>
      </c>
      <c r="O111" t="n">
        <v>0.1</v>
      </c>
      <c r="P111" t="n">
        <v>20</v>
      </c>
      <c r="Q111" t="inlineStr">
        <is>
          <t>sweep2/g5_mix_66-96_H6_s3000.pth</t>
        </is>
      </c>
      <c r="R111" t="n">
        <v>0.03</v>
      </c>
      <c r="S111" t="inlineStr">
        <is>
          <t>Done</t>
        </is>
      </c>
      <c r="V111">
        <f>HYPERLINK("c:\users\omer\rl-qecc-data\reinforcementLearning\2026-08-05_11-56-46_1417727\postProcessing.png","plot")</f>
        <v/>
      </c>
      <c r="W111">
        <f>HYPERLINK("c:\users\omer\rl-qecc-data\reinforcementLearning\2026-08-05_11-56-46_1417727\experiment_9_6_seed_999","experiment.txt")</f>
        <v/>
      </c>
    </row>
    <row r="112">
      <c r="H112" t="inlineStr">
        <is>
          <t>c:/users/omer/rl-qecc-data/reinforcementLearning\2026-08-05_11-56-51_1924950</t>
        </is>
      </c>
      <c r="I112" t="n">
        <v>999</v>
      </c>
      <c r="J112" t="inlineStr">
        <is>
          <t>9,6</t>
        </is>
      </c>
      <c r="K112" t="n">
        <v>8</v>
      </c>
      <c r="M112" t="inlineStr">
        <is>
          <t>hybrid</t>
        </is>
      </c>
      <c r="N112" t="inlineStr">
        <is>
          <t>Yes</t>
        </is>
      </c>
      <c r="O112" t="n">
        <v>0.1</v>
      </c>
      <c r="P112" t="n">
        <v>20</v>
      </c>
      <c r="Q112" t="inlineStr">
        <is>
          <t>sweep2/g5_mix_66-96_H7_s54321.pth</t>
        </is>
      </c>
      <c r="R112" t="n">
        <v>0.03</v>
      </c>
      <c r="S112" t="inlineStr">
        <is>
          <t>Done</t>
        </is>
      </c>
      <c r="V112">
        <f>HYPERLINK("c:\users\omer\rl-qecc-data\reinforcementLearning\2026-08-05_11-56-51_1924950\postProcessing.png","plot")</f>
        <v/>
      </c>
      <c r="W112">
        <f>HYPERLINK("c:\users\omer\rl-qecc-data\reinforcementLearning\2026-08-05_11-56-51_1924950\experiment_9_6_seed_999","experiment.txt")</f>
        <v/>
      </c>
    </row>
    <row r="113">
      <c r="H113" t="inlineStr">
        <is>
          <t>c:/users/omer/rl-qecc-data/reinforcementLearning\2026-08-05_11-56-52_1417760</t>
        </is>
      </c>
      <c r="I113" t="n">
        <v>67</v>
      </c>
      <c r="J113" t="inlineStr">
        <is>
          <t>9,6</t>
        </is>
      </c>
      <c r="K113" t="n">
        <v>8</v>
      </c>
      <c r="M113" t="inlineStr">
        <is>
          <t>hybrid</t>
        </is>
      </c>
      <c r="N113" t="inlineStr">
        <is>
          <t>Yes</t>
        </is>
      </c>
      <c r="O113" t="n">
        <v>0.1</v>
      </c>
      <c r="P113" t="n">
        <v>20</v>
      </c>
      <c r="Q113" t="inlineStr">
        <is>
          <t>sweep2/g5_mix_66-96_H6_s3000.pth</t>
        </is>
      </c>
      <c r="R113" t="n">
        <v>0.03</v>
      </c>
      <c r="S113" t="inlineStr">
        <is>
          <t>Done</t>
        </is>
      </c>
      <c r="V113">
        <f>HYPERLINK("c:\users\omer\rl-qecc-data\reinforcementLearning\2026-08-05_11-56-52_1417760\postProcessing.png","plot")</f>
        <v/>
      </c>
      <c r="W113">
        <f>HYPERLINK("c:\users\omer\rl-qecc-data\reinforcementLearning\2026-08-05_11-56-52_1417760\experiment_9_6_seed_67","experiment.txt")</f>
        <v/>
      </c>
    </row>
    <row r="114">
      <c r="H114" t="inlineStr">
        <is>
          <t>c:/users/omer/rl-qecc-data/reinforcementLearning\2026-08-05_11-56-54_1925040</t>
        </is>
      </c>
      <c r="I114" t="n">
        <v>67</v>
      </c>
      <c r="J114" t="inlineStr">
        <is>
          <t>9,6</t>
        </is>
      </c>
      <c r="K114" t="n">
        <v>8</v>
      </c>
      <c r="M114" t="inlineStr">
        <is>
          <t>hybrid</t>
        </is>
      </c>
      <c r="N114" t="inlineStr">
        <is>
          <t>Yes</t>
        </is>
      </c>
      <c r="O114" t="n">
        <v>0.1</v>
      </c>
      <c r="P114" t="n">
        <v>20</v>
      </c>
      <c r="Q114" t="inlineStr">
        <is>
          <t>sweep2/g5_mix_66-96_H7_s54321.pth</t>
        </is>
      </c>
      <c r="R114" t="n">
        <v>0.03</v>
      </c>
      <c r="S114" t="inlineStr">
        <is>
          <t>Done</t>
        </is>
      </c>
      <c r="V114">
        <f>HYPERLINK("c:\users\omer\rl-qecc-data\reinforcementLearning\2026-08-05_11-56-54_1925040\postProcessing.png","plot")</f>
        <v/>
      </c>
      <c r="W114">
        <f>HYPERLINK("c:\users\omer\rl-qecc-data\reinforcementLearning\2026-08-05_11-56-54_1925040\experiment_9_6_seed_67","experiment.txt")</f>
        <v/>
      </c>
    </row>
    <row r="115">
      <c r="H115" t="inlineStr">
        <is>
          <t>c:/users/omer/rl-qecc-data/reinforcementLearning\2026-08-05_11-57-21_692662</t>
        </is>
      </c>
      <c r="I115" t="n">
        <v>90210</v>
      </c>
      <c r="J115" t="inlineStr">
        <is>
          <t>9,6</t>
        </is>
      </c>
      <c r="K115" t="n">
        <v>8</v>
      </c>
      <c r="M115" t="inlineStr">
        <is>
          <t>hybrid</t>
        </is>
      </c>
      <c r="N115" t="inlineStr">
        <is>
          <t>Yes</t>
        </is>
      </c>
      <c r="O115" t="n">
        <v>0.1</v>
      </c>
      <c r="P115" t="n">
        <v>20</v>
      </c>
      <c r="Q115" t="inlineStr">
        <is>
          <t>sweep2/g5_mix_66-96_H4_s4000.pth</t>
        </is>
      </c>
      <c r="R115" t="n">
        <v>0.03</v>
      </c>
      <c r="S115" t="inlineStr">
        <is>
          <t>Done</t>
        </is>
      </c>
      <c r="V115">
        <f>HYPERLINK("c:\users\omer\rl-qecc-data\reinforcementLearning\2026-08-05_11-57-21_692662\postProcessing.png","plot")</f>
        <v/>
      </c>
      <c r="W115">
        <f>HYPERLINK("c:\users\omer\rl-qecc-data\reinforcementLearning\2026-08-05_11-57-21_692662\experiment_9_6_seed_90210","experiment.txt")</f>
        <v/>
      </c>
    </row>
    <row r="116">
      <c r="H116" t="inlineStr">
        <is>
          <t>c:/users/omer/rl-qecc-data/reinforcementLearning\2026-08-05_11-57-21_692690</t>
        </is>
      </c>
      <c r="I116" t="n">
        <v>466555</v>
      </c>
      <c r="J116" t="inlineStr">
        <is>
          <t>9,6</t>
        </is>
      </c>
      <c r="K116" t="n">
        <v>8</v>
      </c>
      <c r="M116" t="inlineStr">
        <is>
          <t>hybrid</t>
        </is>
      </c>
      <c r="N116" t="inlineStr">
        <is>
          <t>Yes</t>
        </is>
      </c>
      <c r="O116" t="n">
        <v>0.1</v>
      </c>
      <c r="P116" t="n">
        <v>20</v>
      </c>
      <c r="Q116" t="inlineStr">
        <is>
          <t>sweep2/g5_mix_66-96_H4_s4000.pth</t>
        </is>
      </c>
      <c r="R116" t="n">
        <v>0.03</v>
      </c>
      <c r="S116" t="inlineStr">
        <is>
          <t>Done</t>
        </is>
      </c>
      <c r="V116">
        <f>HYPERLINK("c:\users\omer\rl-qecc-data\reinforcementLearning\2026-08-05_11-57-21_692690\postProcessing.png","plot")</f>
        <v/>
      </c>
      <c r="W116">
        <f>HYPERLINK("c:\users\omer\rl-qecc-data\reinforcementLearning\2026-08-05_11-57-21_692690\experiment_9_6_seed_466555","experiment.txt")</f>
        <v/>
      </c>
    </row>
    <row r="117">
      <c r="H117" t="inlineStr">
        <is>
          <t>c:/users/omer/rl-qecc-data/reinforcementLearning\2026-08-05_11-57-21_692715</t>
        </is>
      </c>
      <c r="I117" t="n">
        <v>460101</v>
      </c>
      <c r="J117" t="inlineStr">
        <is>
          <t>9,6</t>
        </is>
      </c>
      <c r="K117" t="n">
        <v>8</v>
      </c>
      <c r="M117" t="inlineStr">
        <is>
          <t>hybrid</t>
        </is>
      </c>
      <c r="N117" t="inlineStr">
        <is>
          <t>Yes</t>
        </is>
      </c>
      <c r="O117" t="n">
        <v>0.1</v>
      </c>
      <c r="P117" t="n">
        <v>20</v>
      </c>
      <c r="Q117" t="inlineStr">
        <is>
          <t>sweep2/g5_mix_66-96_H4_s4000.pth</t>
        </is>
      </c>
      <c r="R117" t="n">
        <v>0.03</v>
      </c>
      <c r="S117" t="inlineStr">
        <is>
          <t>Done</t>
        </is>
      </c>
      <c r="V117">
        <f>HYPERLINK("c:\users\omer\rl-qecc-data\reinforcementLearning\2026-08-05_11-57-21_692715\postProcessing.png","plot")</f>
        <v/>
      </c>
      <c r="W117">
        <f>HYPERLINK("c:\users\omer\rl-qecc-data\reinforcementLearning\2026-08-05_11-57-21_692715\experiment_9_6_seed_460101","experiment.txt")</f>
        <v/>
      </c>
    </row>
    <row r="118">
      <c r="H118" t="inlineStr">
        <is>
          <t>c:/users/omer/rl-qecc-data/reinforcementLearning\2026-08-05_11-57-21_692746</t>
        </is>
      </c>
      <c r="I118" t="n">
        <v>7134066</v>
      </c>
      <c r="J118" t="inlineStr">
        <is>
          <t>9,6</t>
        </is>
      </c>
      <c r="K118" t="n">
        <v>8</v>
      </c>
      <c r="M118" t="inlineStr">
        <is>
          <t>hybrid</t>
        </is>
      </c>
      <c r="N118" t="inlineStr">
        <is>
          <t>Yes</t>
        </is>
      </c>
      <c r="O118" t="n">
        <v>0.1</v>
      </c>
      <c r="P118" t="n">
        <v>20</v>
      </c>
      <c r="Q118" t="inlineStr">
        <is>
          <t>sweep2/g5_mix_66-96_H4_s4000.pth</t>
        </is>
      </c>
      <c r="R118" t="n">
        <v>0.03</v>
      </c>
      <c r="S118" t="inlineStr">
        <is>
          <t>Done</t>
        </is>
      </c>
      <c r="V118">
        <f>HYPERLINK("c:\users\omer\rl-qecc-data\reinforcementLearning\2026-08-05_11-57-21_692746\postProcessing.png","plot")</f>
        <v/>
      </c>
      <c r="W118">
        <f>HYPERLINK("c:\users\omer\rl-qecc-data\reinforcementLearning\2026-08-05_11-57-21_692746\experiment_9_6_seed_7134066","experiment.txt")</f>
        <v/>
      </c>
    </row>
    <row r="119">
      <c r="H119" t="inlineStr">
        <is>
          <t>c:/users/omer/rl-qecc-data/reinforcementLearning\2026-08-05_11-57-21_692774</t>
        </is>
      </c>
      <c r="I119" t="n">
        <v>999</v>
      </c>
      <c r="J119" t="inlineStr">
        <is>
          <t>9,6</t>
        </is>
      </c>
      <c r="K119" t="n">
        <v>8</v>
      </c>
      <c r="M119" t="inlineStr">
        <is>
          <t>hybrid</t>
        </is>
      </c>
      <c r="N119" t="inlineStr">
        <is>
          <t>Yes</t>
        </is>
      </c>
      <c r="O119" t="n">
        <v>0.1</v>
      </c>
      <c r="P119" t="n">
        <v>20</v>
      </c>
      <c r="Q119" t="inlineStr">
        <is>
          <t>sweep2/g5_mix_66-96_H4_s4000.pth</t>
        </is>
      </c>
      <c r="R119" t="n">
        <v>0.03</v>
      </c>
      <c r="S119" t="inlineStr">
        <is>
          <t>Done</t>
        </is>
      </c>
      <c r="V119">
        <f>HYPERLINK("c:\users\omer\rl-qecc-data\reinforcementLearning\2026-08-05_11-57-21_692774\postProcessing.png","plot")</f>
        <v/>
      </c>
      <c r="W119">
        <f>HYPERLINK("c:\users\omer\rl-qecc-data\reinforcementLearning\2026-08-05_11-57-21_692774\experiment_9_6_seed_999","experiment.txt")</f>
        <v/>
      </c>
    </row>
    <row r="120">
      <c r="H120" t="inlineStr">
        <is>
          <t>c:/users/omer/rl-qecc-data/reinforcementLearning\2026-08-05_11-57-21_692801</t>
        </is>
      </c>
      <c r="I120" t="n">
        <v>67</v>
      </c>
      <c r="J120" t="inlineStr">
        <is>
          <t>9,6</t>
        </is>
      </c>
      <c r="K120" t="n">
        <v>8</v>
      </c>
      <c r="M120" t="inlineStr">
        <is>
          <t>hybrid</t>
        </is>
      </c>
      <c r="N120" t="inlineStr">
        <is>
          <t>Yes</t>
        </is>
      </c>
      <c r="O120" t="n">
        <v>0.1</v>
      </c>
      <c r="P120" t="n">
        <v>20</v>
      </c>
      <c r="Q120" t="inlineStr">
        <is>
          <t>sweep2/g5_mix_66-96_H4_s4000.pth</t>
        </is>
      </c>
      <c r="R120" t="n">
        <v>0.03</v>
      </c>
      <c r="S120" t="inlineStr">
        <is>
          <t>Done</t>
        </is>
      </c>
      <c r="V120">
        <f>HYPERLINK("c:\users\omer\rl-qecc-data\reinforcementLearning\2026-08-05_11-57-21_692801\postProcessing.png","plot")</f>
        <v/>
      </c>
      <c r="W120">
        <f>HYPERLINK("c:\users\omer\rl-qecc-data\reinforcementLearning\2026-08-05_11-57-21_692801\experiment_9_6_seed_67","experiment.txt")</f>
        <v/>
      </c>
    </row>
    <row r="121">
      <c r="H121" t="inlineStr">
        <is>
          <t>c:/users/omer/rl-qecc-data/reinforcementLearning\2026-08-05_16-46-23_3905732</t>
        </is>
      </c>
      <c r="I121" t="n">
        <v>7134066</v>
      </c>
      <c r="J121" t="inlineStr">
        <is>
          <t>9,6</t>
        </is>
      </c>
      <c r="K121" t="n">
        <v>8</v>
      </c>
      <c r="M121" t="inlineStr">
        <is>
          <t>hybrid</t>
        </is>
      </c>
      <c r="N121" t="inlineStr">
        <is>
          <t>Yes</t>
        </is>
      </c>
      <c r="O121" t="n">
        <v>0.1</v>
      </c>
      <c r="P121" t="n">
        <v>50</v>
      </c>
      <c r="Q121" t="inlineStr">
        <is>
          <t>sweep2/g5_mix_66-96_H6_s3000.pth</t>
        </is>
      </c>
      <c r="R121" t="n">
        <v>0.03</v>
      </c>
      <c r="S121" t="inlineStr">
        <is>
          <t>Done</t>
        </is>
      </c>
      <c r="V121">
        <f>HYPERLINK("c:\users\omer\rl-qecc-data\reinforcementLearning\2026-08-05_16-46-23_3905732\postProcessing.png","plot")</f>
        <v/>
      </c>
      <c r="W121">
        <f>HYPERLINK("c:\users\omer\rl-qecc-data\reinforcementLearning\2026-08-05_16-46-23_3905732\experiment_9_6_seed_7134066_unfreeze_at_50","experiment.txt")</f>
        <v/>
      </c>
    </row>
    <row r="122">
      <c r="H122" t="inlineStr">
        <is>
          <t>c:/users/omer/rl-qecc-data/reinforcementLearning\2026-08-05_16-47-28_3955272</t>
        </is>
      </c>
      <c r="I122" t="n">
        <v>7134066</v>
      </c>
      <c r="J122" t="inlineStr">
        <is>
          <t>9,6</t>
        </is>
      </c>
      <c r="K122" t="n">
        <v>8</v>
      </c>
      <c r="M122" t="inlineStr">
        <is>
          <t>hybrid</t>
        </is>
      </c>
      <c r="N122" t="inlineStr">
        <is>
          <t>Yes</t>
        </is>
      </c>
      <c r="O122" t="n">
        <v>0.1</v>
      </c>
      <c r="P122" t="n">
        <v>100</v>
      </c>
      <c r="Q122" t="inlineStr">
        <is>
          <t>sweep2/g5_mix_66-96_H6_s3000.pth</t>
        </is>
      </c>
      <c r="R122" t="n">
        <v>0.03</v>
      </c>
      <c r="S122" t="inlineStr">
        <is>
          <t>Done</t>
        </is>
      </c>
      <c r="V122">
        <f>HYPERLINK("c:\users\omer\rl-qecc-data\reinforcementLearning\2026-08-05_16-47-28_3955272\postProcessing.png","plot")</f>
        <v/>
      </c>
      <c r="W122">
        <f>HYPERLINK("c:\users\omer\rl-qecc-data\reinforcementLearning\2026-08-05_16-47-28_3955272\experiment_9_6_seed_7134066_unfreeze_at_100","experiment.txt")</f>
        <v/>
      </c>
    </row>
    <row r="123">
      <c r="H123" t="inlineStr">
        <is>
          <t>c:/users/omer/rl-qecc-data/reinforcementLearning\2026-08-05_16-48-52_4003461</t>
        </is>
      </c>
      <c r="I123" t="n">
        <v>7134066</v>
      </c>
      <c r="J123" t="inlineStr">
        <is>
          <t>9,6</t>
        </is>
      </c>
      <c r="K123" t="n">
        <v>8</v>
      </c>
      <c r="M123" t="inlineStr">
        <is>
          <t>hybrid</t>
        </is>
      </c>
      <c r="N123" t="inlineStr">
        <is>
          <t>Yes</t>
        </is>
      </c>
      <c r="O123" t="n">
        <v>0.1</v>
      </c>
      <c r="P123" t="n">
        <v>200</v>
      </c>
      <c r="Q123" t="inlineStr">
        <is>
          <t>sweep2/g5_mix_66-96_H6_s3000.pth</t>
        </is>
      </c>
      <c r="R123" t="n">
        <v>0.03</v>
      </c>
      <c r="S123" t="inlineStr">
        <is>
          <t>Done</t>
        </is>
      </c>
      <c r="V123">
        <f>HYPERLINK("c:\users\omer\rl-qecc-data\reinforcementLearning\2026-08-05_16-48-52_4003461\postProcessing.png","plot")</f>
        <v/>
      </c>
      <c r="W123">
        <f>HYPERLINK("c:\users\omer\rl-qecc-data\reinforcementLearning\2026-08-05_16-48-52_4003461\experiment_9_6_seed_7134066_unfreeze_at_200","experiment.txt")</f>
        <v/>
      </c>
    </row>
    <row r="124">
      <c r="H124" t="inlineStr">
        <is>
          <t>c:/users/omer/rl-qecc-data/reinforcementLearning\2026-08-06_03-02-16_2002194</t>
        </is>
      </c>
      <c r="I124" t="n">
        <v>90210</v>
      </c>
      <c r="J124" t="inlineStr">
        <is>
          <t>9,6</t>
        </is>
      </c>
      <c r="K124" t="n">
        <v>8</v>
      </c>
      <c r="M124" t="inlineStr">
        <is>
          <t>hybrid</t>
        </is>
      </c>
      <c r="N124" t="inlineStr">
        <is>
          <t>Yes</t>
        </is>
      </c>
      <c r="O124" t="n">
        <v>0.1</v>
      </c>
      <c r="P124" t="n">
        <v>20</v>
      </c>
      <c r="Q124" t="inlineStr">
        <is>
          <t>sweep2/g5_mix_66-96_H10_s2000.pth</t>
        </is>
      </c>
      <c r="R124" t="n">
        <v>0.03</v>
      </c>
      <c r="S124" t="inlineStr">
        <is>
          <t>Done</t>
        </is>
      </c>
      <c r="V124">
        <f>HYPERLINK("c:\users\omer\rl-qecc-data\reinforcementLearning\2026-08-06_03-02-16_2002194\postProcessing.png","plot")</f>
        <v/>
      </c>
      <c r="W124">
        <f>HYPERLINK("c:\users\omer\rl-qecc-data\reinforcementLearning\2026-08-06_03-02-16_2002194\experiment_9_6_seed_90210","experiment.txt")</f>
        <v/>
      </c>
    </row>
    <row r="125">
      <c r="H125" t="inlineStr">
        <is>
          <t>c:/users/omer/rl-qecc-data/reinforcementLearning\2026-08-06_03-02-16_2002221</t>
        </is>
      </c>
      <c r="I125" t="n">
        <v>466555</v>
      </c>
      <c r="J125" t="inlineStr">
        <is>
          <t>9,6</t>
        </is>
      </c>
      <c r="K125" t="n">
        <v>8</v>
      </c>
      <c r="M125" t="inlineStr">
        <is>
          <t>hybrid</t>
        </is>
      </c>
      <c r="N125" t="inlineStr">
        <is>
          <t>Yes</t>
        </is>
      </c>
      <c r="O125" t="n">
        <v>0.1</v>
      </c>
      <c r="P125" t="n">
        <v>20</v>
      </c>
      <c r="Q125" t="inlineStr">
        <is>
          <t>sweep2/g5_mix_66-96_H10_s2000.pth</t>
        </is>
      </c>
      <c r="R125" t="n">
        <v>0.03</v>
      </c>
      <c r="S125" t="inlineStr">
        <is>
          <t>Done</t>
        </is>
      </c>
      <c r="V125">
        <f>HYPERLINK("c:\users\omer\rl-qecc-data\reinforcementLearning\2026-08-06_03-02-16_2002221\postProcessing.png","plot")</f>
        <v/>
      </c>
      <c r="W125">
        <f>HYPERLINK("c:\users\omer\rl-qecc-data\reinforcementLearning\2026-08-06_03-02-16_2002221\experiment_9_6_seed_466555","experiment.txt")</f>
        <v/>
      </c>
    </row>
    <row r="126">
      <c r="H126" t="inlineStr">
        <is>
          <t>c:/users/omer/rl-qecc-data/reinforcementLearning\2026-08-06_03-02-16_2002254</t>
        </is>
      </c>
      <c r="I126" t="n">
        <v>460101</v>
      </c>
      <c r="J126" t="inlineStr">
        <is>
          <t>9,6</t>
        </is>
      </c>
      <c r="K126" t="n">
        <v>8</v>
      </c>
      <c r="M126" t="inlineStr">
        <is>
          <t>hybrid</t>
        </is>
      </c>
      <c r="N126" t="inlineStr">
        <is>
          <t>Yes</t>
        </is>
      </c>
      <c r="O126" t="n">
        <v>0.1</v>
      </c>
      <c r="P126" t="n">
        <v>20</v>
      </c>
      <c r="Q126" t="inlineStr">
        <is>
          <t>sweep2/g5_mix_66-96_H10_s2000.pth</t>
        </is>
      </c>
      <c r="R126" t="n">
        <v>0.03</v>
      </c>
      <c r="S126" t="inlineStr">
        <is>
          <t>Done</t>
        </is>
      </c>
      <c r="V126">
        <f>HYPERLINK("c:\users\omer\rl-qecc-data\reinforcementLearning\2026-08-06_03-02-16_2002254\postProcessing.png","plot")</f>
        <v/>
      </c>
      <c r="W126">
        <f>HYPERLINK("c:\users\omer\rl-qecc-data\reinforcementLearning\2026-08-06_03-02-16_2002254\experiment_9_6_seed_460101","experiment.txt")</f>
        <v/>
      </c>
    </row>
    <row r="127">
      <c r="H127" t="inlineStr">
        <is>
          <t>c:/users/omer/rl-qecc-data/reinforcementLearning\2026-08-06_03-02-16_2002285</t>
        </is>
      </c>
      <c r="I127" t="n">
        <v>7134066</v>
      </c>
      <c r="J127" t="inlineStr">
        <is>
          <t>9,6</t>
        </is>
      </c>
      <c r="K127" t="n">
        <v>8</v>
      </c>
      <c r="M127" t="inlineStr">
        <is>
          <t>hybrid</t>
        </is>
      </c>
      <c r="N127" t="inlineStr">
        <is>
          <t>Yes</t>
        </is>
      </c>
      <c r="O127" t="n">
        <v>0.1</v>
      </c>
      <c r="P127" t="n">
        <v>20</v>
      </c>
      <c r="Q127" t="inlineStr">
        <is>
          <t>sweep2/g5_mix_66-96_H10_s2000.pth</t>
        </is>
      </c>
      <c r="R127" t="n">
        <v>0.03</v>
      </c>
      <c r="S127" t="inlineStr">
        <is>
          <t>Done</t>
        </is>
      </c>
      <c r="V127">
        <f>HYPERLINK("c:\users\omer\rl-qecc-data\reinforcementLearning\2026-08-06_03-02-16_2002285\postProcessing.png","plot")</f>
        <v/>
      </c>
      <c r="W127">
        <f>HYPERLINK("c:\users\omer\rl-qecc-data\reinforcementLearning\2026-08-06_03-02-16_2002285\experiment_9_6_seed_7134066","experiment.txt")</f>
        <v/>
      </c>
    </row>
    <row r="128">
      <c r="H128" t="inlineStr">
        <is>
          <t>c:/users/omer/rl-qecc-data/reinforcementLearning\2026-08-06_03-02-17_2002313</t>
        </is>
      </c>
      <c r="I128" t="n">
        <v>999</v>
      </c>
      <c r="J128" t="inlineStr">
        <is>
          <t>9,6</t>
        </is>
      </c>
      <c r="K128" t="n">
        <v>8</v>
      </c>
      <c r="M128" t="inlineStr">
        <is>
          <t>hybrid</t>
        </is>
      </c>
      <c r="N128" t="inlineStr">
        <is>
          <t>Yes</t>
        </is>
      </c>
      <c r="O128" t="n">
        <v>0.1</v>
      </c>
      <c r="P128" t="n">
        <v>20</v>
      </c>
      <c r="Q128" t="inlineStr">
        <is>
          <t>sweep2/g5_mix_66-96_H10_s2000.pth</t>
        </is>
      </c>
      <c r="R128" t="n">
        <v>0.03</v>
      </c>
      <c r="S128" t="inlineStr">
        <is>
          <t>Done</t>
        </is>
      </c>
      <c r="V128">
        <f>HYPERLINK("c:\users\omer\rl-qecc-data\reinforcementLearning\2026-08-06_03-02-17_2002313\postProcessing.png","plot")</f>
        <v/>
      </c>
      <c r="W128">
        <f>HYPERLINK("c:\users\omer\rl-qecc-data\reinforcementLearning\2026-08-06_03-02-17_2002313\experiment_9_6_seed_999","experiment.txt")</f>
        <v/>
      </c>
    </row>
    <row r="129">
      <c r="H129" t="inlineStr">
        <is>
          <t>c:/users/omer/rl-qecc-data/reinforcementLearning\2026-08-06_03-02-21_2002340</t>
        </is>
      </c>
      <c r="I129" t="n">
        <v>67</v>
      </c>
      <c r="J129" t="inlineStr">
        <is>
          <t>9,6</t>
        </is>
      </c>
      <c r="K129" t="n">
        <v>8</v>
      </c>
      <c r="M129" t="inlineStr">
        <is>
          <t>hybrid</t>
        </is>
      </c>
      <c r="N129" t="inlineStr">
        <is>
          <t>Yes</t>
        </is>
      </c>
      <c r="O129" t="n">
        <v>0.1</v>
      </c>
      <c r="P129" t="n">
        <v>20</v>
      </c>
      <c r="Q129" t="inlineStr">
        <is>
          <t>sweep2/g5_mix_66-96_H10_s2000.pth</t>
        </is>
      </c>
      <c r="R129" t="n">
        <v>0.03</v>
      </c>
      <c r="S129" t="inlineStr">
        <is>
          <t>Done</t>
        </is>
      </c>
      <c r="V129">
        <f>HYPERLINK("c:\users\omer\rl-qecc-data\reinforcementLearning\2026-08-06_03-02-21_2002340\postProcessing.png","plot")</f>
        <v/>
      </c>
      <c r="W129">
        <f>HYPERLINK("c:\users\omer\rl-qecc-data\reinforcementLearning\2026-08-06_03-02-21_2002340\experiment_9_6_seed_67","experiment.txt")</f>
        <v/>
      </c>
    </row>
    <row r="130">
      <c r="H130" t="inlineStr">
        <is>
          <t>c:/users/omer/rl-qecc-data/reinforcementLearning\2026-08-06_03-20-52_1495640</t>
        </is>
      </c>
      <c r="I130" t="n">
        <v>90210</v>
      </c>
      <c r="J130" t="inlineStr">
        <is>
          <t>9,6</t>
        </is>
      </c>
      <c r="K130" t="n">
        <v>8</v>
      </c>
      <c r="M130" t="inlineStr">
        <is>
          <t>hybrid</t>
        </is>
      </c>
      <c r="N130" t="inlineStr">
        <is>
          <t>Yes</t>
        </is>
      </c>
      <c r="O130" t="n">
        <v>0.1</v>
      </c>
      <c r="P130" t="n">
        <v>20</v>
      </c>
      <c r="Q130" t="inlineStr">
        <is>
          <t>sweep2/g5_mix_66-96_H7_s54321.pth</t>
        </is>
      </c>
      <c r="R130" t="n">
        <v>0.03</v>
      </c>
      <c r="S130" t="inlineStr">
        <is>
          <t>Done</t>
        </is>
      </c>
      <c r="V130">
        <f>HYPERLINK("c:\users\omer\rl-qecc-data\reinforcementLearning\2026-08-06_03-20-52_1495640\postProcessing.png","plot")</f>
        <v/>
      </c>
      <c r="W130">
        <f>HYPERLINK("c:\users\omer\rl-qecc-data\reinforcementLearning\2026-08-06_03-20-52_1495640\experiment_9_6_seed_90210","experiment.txt")</f>
        <v/>
      </c>
    </row>
    <row r="131">
      <c r="H131" t="inlineStr">
        <is>
          <t>c:/users/omer/rl-qecc-data/reinforcementLearning\2026-08-06_03-20-53_1495667</t>
        </is>
      </c>
      <c r="I131" t="n">
        <v>466555</v>
      </c>
      <c r="J131" t="inlineStr">
        <is>
          <t>9,6</t>
        </is>
      </c>
      <c r="K131" t="n">
        <v>8</v>
      </c>
      <c r="M131" t="inlineStr">
        <is>
          <t>hybrid</t>
        </is>
      </c>
      <c r="N131" t="inlineStr">
        <is>
          <t>Yes</t>
        </is>
      </c>
      <c r="O131" t="n">
        <v>0.1</v>
      </c>
      <c r="P131" t="n">
        <v>20</v>
      </c>
      <c r="Q131" t="inlineStr">
        <is>
          <t>sweep2/g5_mix_66-96_H7_s54321.pth</t>
        </is>
      </c>
      <c r="R131" t="n">
        <v>0.03</v>
      </c>
      <c r="S131" t="inlineStr">
        <is>
          <t>Done</t>
        </is>
      </c>
      <c r="V131">
        <f>HYPERLINK("c:\users\omer\rl-qecc-data\reinforcementLearning\2026-08-06_03-20-53_1495667\postProcessing.png","plot")</f>
        <v/>
      </c>
      <c r="W131">
        <f>HYPERLINK("c:\users\omer\rl-qecc-data\reinforcementLearning\2026-08-06_03-20-53_1495667\experiment_9_6_seed_466555","experiment.txt")</f>
        <v/>
      </c>
    </row>
    <row r="132">
      <c r="H132" t="inlineStr">
        <is>
          <t>c:/users/omer/rl-qecc-data/reinforcementLearning\2026-08-06_03-20-56_1495696</t>
        </is>
      </c>
      <c r="I132" t="n">
        <v>460101</v>
      </c>
      <c r="J132" t="inlineStr">
        <is>
          <t>9,6</t>
        </is>
      </c>
      <c r="K132" t="n">
        <v>8</v>
      </c>
      <c r="M132" t="inlineStr">
        <is>
          <t>hybrid</t>
        </is>
      </c>
      <c r="N132" t="inlineStr">
        <is>
          <t>Yes</t>
        </is>
      </c>
      <c r="O132" t="n">
        <v>0.1</v>
      </c>
      <c r="P132" t="n">
        <v>20</v>
      </c>
      <c r="Q132" t="inlineStr">
        <is>
          <t>sweep2/g5_mix_66-96_H7_s54321.pth</t>
        </is>
      </c>
      <c r="R132" t="n">
        <v>0.03</v>
      </c>
      <c r="S132" t="inlineStr">
        <is>
          <t>Done</t>
        </is>
      </c>
      <c r="V132">
        <f>HYPERLINK("c:\users\omer\rl-qecc-data\reinforcementLearning\2026-08-06_03-20-56_1495696\postProcessing.png","plot")</f>
        <v/>
      </c>
      <c r="W132">
        <f>HYPERLINK("c:\users\omer\rl-qecc-data\reinforcementLearning\2026-08-06_03-20-56_1495696\experiment_9_6_seed_460101","experiment.txt")</f>
        <v/>
      </c>
    </row>
    <row r="133">
      <c r="H133" t="inlineStr">
        <is>
          <t>c:/users/omer/rl-qecc-data/reinforcementLearning\2026-08-06_03-21-00_1495728</t>
        </is>
      </c>
      <c r="I133" t="n">
        <v>7134066</v>
      </c>
      <c r="J133" t="inlineStr">
        <is>
          <t>9,6</t>
        </is>
      </c>
      <c r="K133" t="n">
        <v>8</v>
      </c>
      <c r="M133" t="inlineStr">
        <is>
          <t>hybrid</t>
        </is>
      </c>
      <c r="N133" t="inlineStr">
        <is>
          <t>Yes</t>
        </is>
      </c>
      <c r="O133" t="n">
        <v>0.1</v>
      </c>
      <c r="P133" t="n">
        <v>20</v>
      </c>
      <c r="Q133" t="inlineStr">
        <is>
          <t>sweep2/g5_mix_66-96_H7_s54321.pth</t>
        </is>
      </c>
      <c r="R133" t="n">
        <v>0.03</v>
      </c>
      <c r="S133" t="inlineStr">
        <is>
          <t>Done</t>
        </is>
      </c>
      <c r="V133">
        <f>HYPERLINK("c:\users\omer\rl-qecc-data\reinforcementLearning\2026-08-06_03-21-00_1495728\postProcessing.png","plot")</f>
        <v/>
      </c>
      <c r="W133">
        <f>HYPERLINK("c:\users\omer\rl-qecc-data\reinforcementLearning\2026-08-06_03-21-00_1495728\experiment_9_6_seed_7134066","experiment.txt")</f>
        <v/>
      </c>
    </row>
    <row r="134">
      <c r="H134" t="inlineStr">
        <is>
          <t>c:/users/omer/rl-qecc-data/reinforcementLearning\2026-08-06_03-21-04_1495802</t>
        </is>
      </c>
      <c r="I134" t="n">
        <v>999</v>
      </c>
      <c r="J134" t="inlineStr">
        <is>
          <t>9,6</t>
        </is>
      </c>
      <c r="K134" t="n">
        <v>8</v>
      </c>
      <c r="M134" t="inlineStr">
        <is>
          <t>hybrid</t>
        </is>
      </c>
      <c r="N134" t="inlineStr">
        <is>
          <t>Yes</t>
        </is>
      </c>
      <c r="O134" t="n">
        <v>0.1</v>
      </c>
      <c r="P134" t="n">
        <v>20</v>
      </c>
      <c r="Q134" t="inlineStr">
        <is>
          <t>sweep2/g5_mix_66-96_H7_s54321.pth</t>
        </is>
      </c>
      <c r="R134" t="n">
        <v>0.03</v>
      </c>
      <c r="S134" t="inlineStr">
        <is>
          <t>Done</t>
        </is>
      </c>
      <c r="V134">
        <f>HYPERLINK("c:\users\omer\rl-qecc-data\reinforcementLearning\2026-08-06_03-21-04_1495802\postProcessing.png","plot")</f>
        <v/>
      </c>
      <c r="W134">
        <f>HYPERLINK("c:\users\omer\rl-qecc-data\reinforcementLearning\2026-08-06_03-21-04_1495802\experiment_9_6_seed_999","experiment.txt")</f>
        <v/>
      </c>
    </row>
    <row r="135">
      <c r="H135" t="inlineStr">
        <is>
          <t>c:/users/omer/rl-qecc-data/reinforcementLearning\2026-08-06_03-21-07_1495859</t>
        </is>
      </c>
      <c r="I135" t="n">
        <v>67</v>
      </c>
      <c r="J135" t="inlineStr">
        <is>
          <t>9,6</t>
        </is>
      </c>
      <c r="K135" t="n">
        <v>8</v>
      </c>
      <c r="M135" t="inlineStr">
        <is>
          <t>hybrid</t>
        </is>
      </c>
      <c r="N135" t="inlineStr">
        <is>
          <t>Yes</t>
        </is>
      </c>
      <c r="O135" t="n">
        <v>0.1</v>
      </c>
      <c r="P135" t="n">
        <v>20</v>
      </c>
      <c r="Q135" t="inlineStr">
        <is>
          <t>sweep2/g5_mix_66-96_H7_s54321.pth</t>
        </is>
      </c>
      <c r="R135" t="n">
        <v>0.03</v>
      </c>
      <c r="S135" t="inlineStr">
        <is>
          <t>Done</t>
        </is>
      </c>
      <c r="V135">
        <f>HYPERLINK("c:\users\omer\rl-qecc-data\reinforcementLearning\2026-08-06_03-21-07_1495859\postProcessing.png","plot")</f>
        <v/>
      </c>
      <c r="W135">
        <f>HYPERLINK("c:\users\omer\rl-qecc-data\reinforcementLearning\2026-08-06_03-21-07_1495859\experiment_9_6_seed_67","experiment.txt")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H1:W234"/>
  <sheetViews>
    <sheetView workbookViewId="0">
      <selection activeCell="A1" sqref="A1:W1"/>
    </sheetView>
  </sheetViews>
  <sheetFormatPr baseColWidth="8" defaultRowHeight="15.05"/>
  <sheetData>
    <row r="1" ht="105.4" customHeight="1" thickBot="1">
      <c r="H1" s="1" t="inlineStr">
        <is>
          <t>Job name / folder name</t>
        </is>
      </c>
      <c r="I1" s="2" t="inlineStr">
        <is>
          <t>Seed</t>
        </is>
      </c>
      <c r="J1" s="3" t="inlineStr">
        <is>
          <t>Code</t>
        </is>
      </c>
      <c r="K1" s="3" t="inlineStr">
        <is>
          <t>Number of qubits</t>
        </is>
      </c>
      <c r="L1" s="3" t="n"/>
      <c r="M1" s="3" t="inlineStr">
        <is>
          <t>Network architecture</t>
        </is>
      </c>
      <c r="N1" s="3" t="inlineStr">
        <is>
          <t>Use pretrained encoder</t>
        </is>
      </c>
      <c r="O1" s="3" t="inlineStr">
        <is>
          <t>Encoder lr factor</t>
        </is>
      </c>
      <c r="P1" s="3" t="inlineStr">
        <is>
          <t>Freeze until ?</t>
        </is>
      </c>
      <c r="Q1" s="3" t="inlineStr">
        <is>
          <t>Encoder</t>
        </is>
      </c>
      <c r="R1" s="3" t="inlineStr">
        <is>
          <t>Entropy eps</t>
        </is>
      </c>
      <c r="S1" s="3" t="inlineStr">
        <is>
          <t>Running / processed</t>
        </is>
      </c>
      <c r="T1" s="3" t="inlineStr">
        <is>
          <t>Is good ?</t>
        </is>
      </c>
      <c r="U1" s="4" t="inlineStr">
        <is>
          <t>Comments</t>
        </is>
      </c>
      <c r="V1" t="inlineStr">
        <is>
          <t>Plot</t>
        </is>
      </c>
      <c r="W1" t="inlineStr">
        <is>
          <t>Data</t>
        </is>
      </c>
    </row>
    <row r="2">
      <c r="H2" t="inlineStr">
        <is>
          <t>c:/users/omer/rl-qecc-data/2026-07-16_18-30-47_4059110</t>
        </is>
      </c>
      <c r="I2" t="n">
        <v>232323</v>
      </c>
      <c r="J2" t="inlineStr">
        <is>
          <t>9,6</t>
        </is>
      </c>
      <c r="K2" t="n">
        <v>8</v>
      </c>
      <c r="M2" t="inlineStr">
        <is>
          <t>hybrid</t>
        </is>
      </c>
      <c r="N2" t="inlineStr">
        <is>
          <t>Yes</t>
        </is>
      </c>
      <c r="O2" t="n">
        <v>0.1</v>
      </c>
      <c r="P2" t="n">
        <v>50</v>
      </c>
      <c r="Q2" t="inlineStr">
        <is>
          <t>2026-07-12_21-15-58/surrogate_6x6.pth</t>
        </is>
      </c>
      <c r="R2" t="n">
        <v>0.003</v>
      </c>
      <c r="S2" t="inlineStr">
        <is>
          <t>Done</t>
        </is>
      </c>
      <c r="V2">
        <f>HYPERLINK("c:\users\omer\rl-qecc-data\2026-07-16_18-30-47_4059110\postProcessing.png","plot")</f>
        <v/>
      </c>
      <c r="W2">
        <f>HYPERLINK("c:\users\omer\rl-qecc-data\2026-07-16_18-30-47_4059110\experiment.txt","experiment.txt")</f>
        <v/>
      </c>
    </row>
    <row r="3">
      <c r="H3" t="inlineStr">
        <is>
          <t>C:\Users\Omer\rl-qecc-data\2026-07-14_08-27-56</t>
        </is>
      </c>
      <c r="I3" t="n">
        <v>123456</v>
      </c>
      <c r="J3" t="inlineStr">
        <is>
          <t>9,6</t>
        </is>
      </c>
      <c r="K3" t="n">
        <v>6</v>
      </c>
      <c r="M3" t="inlineStr">
        <is>
          <t>hybrid</t>
        </is>
      </c>
      <c r="N3" t="inlineStr">
        <is>
          <t>Yes</t>
        </is>
      </c>
      <c r="O3" t="n">
        <v>0.1</v>
      </c>
      <c r="P3" t="n">
        <v>20</v>
      </c>
      <c r="Q3" t="inlineStr">
        <is>
          <t>2026-07-12_20-18-32/surrogate_6x6.pth</t>
        </is>
      </c>
      <c r="R3" t="n">
        <v>0.3</v>
      </c>
      <c r="S3" t="inlineStr">
        <is>
          <t>Done</t>
        </is>
      </c>
      <c r="V3">
        <f>HYPERLINK("C:\Users\Omer\rl-qecc-data\2026-07-14_08-27-56\postProcessing.png","plot")</f>
        <v/>
      </c>
      <c r="W3">
        <f>HYPERLINK("C:\Users\Omer\rl-qecc-data\2026-07-14_08-27-56\experiment.txt","experiment.txt")</f>
        <v/>
      </c>
    </row>
    <row r="4">
      <c r="H4" t="inlineStr">
        <is>
          <t>c:/users/omer/rl-qecc-data/2026-07-02_13-39-22</t>
        </is>
      </c>
      <c r="N4" t="inlineStr">
        <is>
          <t>No</t>
        </is>
      </c>
      <c r="S4" t="inlineStr">
        <is>
          <t>Done</t>
        </is>
      </c>
      <c r="V4">
        <f>HYPERLINK("c:\users\omer\rl-qecc-data\2026-07-02_13-39-22\postProcessing.png","plot")</f>
        <v/>
      </c>
      <c r="W4">
        <f>HYPERLINK("c:\users\omer\rl-qecc-data\2026-07-02_13-39-22\experiment.txt","experiment.txt")</f>
        <v/>
      </c>
    </row>
    <row r="5">
      <c r="H5" t="inlineStr">
        <is>
          <t>c:/users/omer/rl-qecc-data/2026-07-02_16-59-51</t>
        </is>
      </c>
      <c r="N5" t="inlineStr">
        <is>
          <t>No</t>
        </is>
      </c>
      <c r="S5" t="inlineStr">
        <is>
          <t>Done</t>
        </is>
      </c>
      <c r="V5">
        <f>HYPERLINK("c:\users\omer\rl-qecc-data\2026-07-02_16-59-51\postProcessing.png","plot")</f>
        <v/>
      </c>
      <c r="W5">
        <f>HYPERLINK("c:\users\omer\rl-qecc-data\2026-07-02_16-59-51\experiment.txt","experiment.txt")</f>
        <v/>
      </c>
    </row>
    <row r="6">
      <c r="H6" t="inlineStr">
        <is>
          <t>c:/users/omer/rl-qecc-data/2026-07-02_17-00-26</t>
        </is>
      </c>
      <c r="N6" t="inlineStr">
        <is>
          <t>No</t>
        </is>
      </c>
      <c r="S6" t="inlineStr">
        <is>
          <t>Done</t>
        </is>
      </c>
      <c r="V6">
        <f>HYPERLINK("c:\users\omer\rl-qecc-data\2026-07-02_17-00-26\postProcessing.png","plot")</f>
        <v/>
      </c>
      <c r="W6">
        <f>HYPERLINK("c:\users\omer\rl-qecc-data\2026-07-02_17-00-26\experiment.txt","experiment.txt")</f>
        <v/>
      </c>
    </row>
    <row r="7">
      <c r="H7" t="inlineStr">
        <is>
          <t>c:/users/omer/rl-qecc-data/2026-07-02_20-49-12</t>
        </is>
      </c>
      <c r="N7" t="inlineStr">
        <is>
          <t>No</t>
        </is>
      </c>
      <c r="S7" t="inlineStr">
        <is>
          <t>Done</t>
        </is>
      </c>
      <c r="V7">
        <f>HYPERLINK("c:\users\omer\rl-qecc-data\2026-07-02_20-49-12\postProcessing.png","plot")</f>
        <v/>
      </c>
      <c r="W7">
        <f>HYPERLINK("c:\users\omer\rl-qecc-data\2026-07-02_20-49-12\experiment.txt","experiment.txt")</f>
        <v/>
      </c>
    </row>
    <row r="8">
      <c r="H8" t="inlineStr">
        <is>
          <t>c:/users/omer/rl-qecc-data/2026-07-02_20-58-54</t>
        </is>
      </c>
      <c r="N8" t="inlineStr">
        <is>
          <t>No</t>
        </is>
      </c>
      <c r="S8" t="inlineStr">
        <is>
          <t>Done</t>
        </is>
      </c>
      <c r="V8">
        <f>HYPERLINK("c:\users\omer\rl-qecc-data\2026-07-02_20-58-54\postProcessing.png","plot")</f>
        <v/>
      </c>
      <c r="W8">
        <f>HYPERLINK("c:\users\omer\rl-qecc-data\2026-07-02_20-58-54\experiment.txt","experiment.txt")</f>
        <v/>
      </c>
    </row>
    <row r="9">
      <c r="H9" t="inlineStr">
        <is>
          <t>c:/users/omer/rl-qecc-data/2026-07-02_21-50-41</t>
        </is>
      </c>
      <c r="N9" t="inlineStr">
        <is>
          <t>No</t>
        </is>
      </c>
      <c r="S9" t="inlineStr">
        <is>
          <t>Done</t>
        </is>
      </c>
      <c r="V9">
        <f>HYPERLINK("c:\users\omer\rl-qecc-data\2026-07-02_21-50-41\postProcessing.png","plot")</f>
        <v/>
      </c>
      <c r="W9">
        <f>HYPERLINK("c:\users\omer\rl-qecc-data\2026-07-02_21-50-41\experiment.txt","experiment.txt")</f>
        <v/>
      </c>
    </row>
    <row r="10">
      <c r="H10" t="inlineStr">
        <is>
          <t>c:/users/omer/rl-qecc-data/2026-07-04_21-14-02</t>
        </is>
      </c>
      <c r="I10" t="n">
        <v>7134066</v>
      </c>
      <c r="N10" t="inlineStr">
        <is>
          <t>No</t>
        </is>
      </c>
      <c r="R10" t="n">
        <v>0.0001</v>
      </c>
      <c r="S10" t="inlineStr">
        <is>
          <t>Done</t>
        </is>
      </c>
      <c r="V10">
        <f>HYPERLINK("c:\users\omer\rl-qecc-data\2026-07-04_21-14-02\postProcessing.png","plot")</f>
        <v/>
      </c>
      <c r="W10">
        <f>HYPERLINK("c:\users\omer\rl-qecc-data\2026-07-04_21-14-02\experiment.txt","experiment.txt")</f>
        <v/>
      </c>
    </row>
    <row r="11">
      <c r="H11" t="inlineStr">
        <is>
          <t>c:/users/omer/rl-qecc-data/2026-07-04_21-40-29</t>
        </is>
      </c>
      <c r="I11" t="n">
        <v>7134066</v>
      </c>
      <c r="N11" t="inlineStr">
        <is>
          <t>No</t>
        </is>
      </c>
      <c r="R11" t="n">
        <v>0.0001</v>
      </c>
      <c r="S11" t="inlineStr">
        <is>
          <t>Done</t>
        </is>
      </c>
      <c r="V11">
        <f>HYPERLINK("c:\users\omer\rl-qecc-data\2026-07-04_21-40-29\postProcessing.png","plot")</f>
        <v/>
      </c>
      <c r="W11">
        <f>HYPERLINK("c:\users\omer\rl-qecc-data\2026-07-04_21-40-29\experiment.txt","experiment.txt")</f>
        <v/>
      </c>
    </row>
    <row r="12">
      <c r="H12" t="inlineStr">
        <is>
          <t>c:/users/omer/rl-qecc-data/2026-07-05_14-27-37</t>
        </is>
      </c>
      <c r="I12" t="n">
        <v>546564</v>
      </c>
      <c r="N12" t="inlineStr">
        <is>
          <t>No</t>
        </is>
      </c>
      <c r="R12" t="n">
        <v>0.0001</v>
      </c>
      <c r="S12" t="inlineStr">
        <is>
          <t>Done</t>
        </is>
      </c>
      <c r="V12">
        <f>HYPERLINK("c:\users\omer\rl-qecc-data\2026-07-05_14-27-37\postProcessing.png","plot")</f>
        <v/>
      </c>
      <c r="W12">
        <f>HYPERLINK("c:\users\omer\rl-qecc-data\2026-07-05_14-27-37\experiment.txt","experiment.txt")</f>
        <v/>
      </c>
    </row>
    <row r="13">
      <c r="H13" t="inlineStr">
        <is>
          <t>c:/users/omer/rl-qecc-data/2026-07-05_14-28-45</t>
        </is>
      </c>
      <c r="I13" t="n">
        <v>498464</v>
      </c>
      <c r="N13" t="inlineStr">
        <is>
          <t>No</t>
        </is>
      </c>
      <c r="R13" t="n">
        <v>0.0001</v>
      </c>
      <c r="S13" t="inlineStr">
        <is>
          <t>Done</t>
        </is>
      </c>
      <c r="V13">
        <f>HYPERLINK("c:\users\omer\rl-qecc-data\2026-07-05_14-28-45\postProcessing.png","plot")</f>
        <v/>
      </c>
      <c r="W13">
        <f>HYPERLINK("c:\users\omer\rl-qecc-data\2026-07-05_14-28-45\experiment.txt","experiment.txt")</f>
        <v/>
      </c>
    </row>
    <row r="14">
      <c r="H14" t="inlineStr">
        <is>
          <t>c:/users/omer/rl-qecc-data/2026-07-05_14-28-48</t>
        </is>
      </c>
      <c r="I14" t="n">
        <v>61616</v>
      </c>
      <c r="N14" t="inlineStr">
        <is>
          <t>No</t>
        </is>
      </c>
      <c r="R14" t="n">
        <v>0.0001</v>
      </c>
      <c r="S14" t="inlineStr">
        <is>
          <t>Done</t>
        </is>
      </c>
      <c r="V14">
        <f>HYPERLINK("c:\users\omer\rl-qecc-data\2026-07-05_14-28-48\postProcessing.png","plot")</f>
        <v/>
      </c>
      <c r="W14">
        <f>HYPERLINK("c:\users\omer\rl-qecc-data\2026-07-05_14-28-48\experiment.txt","experiment.txt")</f>
        <v/>
      </c>
    </row>
    <row r="15">
      <c r="H15" t="inlineStr">
        <is>
          <t>c:/users/omer/rl-qecc-data/2026-07-05_14-29-15</t>
        </is>
      </c>
      <c r="I15" t="n">
        <v>468</v>
      </c>
      <c r="N15" t="inlineStr">
        <is>
          <t>No</t>
        </is>
      </c>
      <c r="R15" t="n">
        <v>0.0001</v>
      </c>
      <c r="S15" t="inlineStr">
        <is>
          <t>Done</t>
        </is>
      </c>
      <c r="V15">
        <f>HYPERLINK("c:\users\omer\rl-qecc-data\2026-07-05_14-29-15\postProcessing.png","plot")</f>
        <v/>
      </c>
      <c r="W15">
        <f>HYPERLINK("c:\users\omer\rl-qecc-data\2026-07-05_14-29-15\experiment.txt","experiment.txt")</f>
        <v/>
      </c>
    </row>
    <row r="16">
      <c r="H16" t="inlineStr">
        <is>
          <t>c:/users/omer/rl-qecc-data/2026-07-05_14-29-45</t>
        </is>
      </c>
      <c r="I16" t="n">
        <v>1841</v>
      </c>
      <c r="N16" t="inlineStr">
        <is>
          <t>No</t>
        </is>
      </c>
      <c r="R16" t="n">
        <v>0.0001</v>
      </c>
      <c r="S16" t="inlineStr">
        <is>
          <t>Done</t>
        </is>
      </c>
      <c r="V16">
        <f>HYPERLINK("c:\users\omer\rl-qecc-data\2026-07-05_14-29-45\postProcessing.png","plot")</f>
        <v/>
      </c>
      <c r="W16">
        <f>HYPERLINK("c:\users\omer\rl-qecc-data\2026-07-05_14-29-45\experiment.txt","experiment.txt")</f>
        <v/>
      </c>
    </row>
    <row r="17">
      <c r="H17" t="inlineStr">
        <is>
          <t>c:/users/omer/rl-qecc-data/2026-07-07_20-33-48</t>
        </is>
      </c>
      <c r="I17" t="n">
        <v>7134066</v>
      </c>
      <c r="N17" t="inlineStr">
        <is>
          <t>No</t>
        </is>
      </c>
      <c r="R17" t="n">
        <v>0.0001</v>
      </c>
      <c r="S17" t="inlineStr">
        <is>
          <t>Done</t>
        </is>
      </c>
      <c r="V17">
        <f>HYPERLINK("c:\users\omer\rl-qecc-data\2026-07-07_20-33-48\postProcessing.png","plot")</f>
        <v/>
      </c>
      <c r="W17">
        <f>HYPERLINK("c:\users\omer\rl-qecc-data\2026-07-07_20-33-48\experiment.txt","experiment.txt")</f>
        <v/>
      </c>
    </row>
    <row r="18">
      <c r="H18" t="inlineStr">
        <is>
          <t>c:/users/omer/rl-qecc-data/2026-07-07_21-40-39</t>
        </is>
      </c>
      <c r="I18" t="n">
        <v>7134066</v>
      </c>
      <c r="N18" t="inlineStr">
        <is>
          <t>No</t>
        </is>
      </c>
      <c r="R18" t="n">
        <v>0.0001</v>
      </c>
      <c r="S18" t="inlineStr">
        <is>
          <t>Done</t>
        </is>
      </c>
      <c r="V18">
        <f>HYPERLINK("c:\users\omer\rl-qecc-data\2026-07-07_21-40-39\postProcessing.png","plot")</f>
        <v/>
      </c>
      <c r="W18">
        <f>HYPERLINK("c:\users\omer\rl-qecc-data\2026-07-07_21-40-39\experiment.txt","experiment.txt")</f>
        <v/>
      </c>
    </row>
    <row r="19">
      <c r="H19" t="inlineStr">
        <is>
          <t>c:/users/omer/rl-qecc-data/2026-07-07_23-30-55</t>
        </is>
      </c>
      <c r="N19" t="inlineStr">
        <is>
          <t>No</t>
        </is>
      </c>
      <c r="S19" t="inlineStr">
        <is>
          <t>Done</t>
        </is>
      </c>
      <c r="V19">
        <f>HYPERLINK("c:\users\omer\rl-qecc-data\2026-07-07_23-30-55\postProcessing.png","plot")</f>
        <v/>
      </c>
      <c r="W19">
        <f>HYPERLINK("c:\users\omer\rl-qecc-data\2026-07-07_23-30-55\experiment.txt","experiment.txt")</f>
        <v/>
      </c>
    </row>
    <row r="20">
      <c r="H20" t="inlineStr">
        <is>
          <t>c:/users/omer/rl-qecc-data/2026-07-07_23-34-18</t>
        </is>
      </c>
      <c r="N20" t="inlineStr">
        <is>
          <t>No</t>
        </is>
      </c>
      <c r="S20" t="inlineStr">
        <is>
          <t>Done</t>
        </is>
      </c>
      <c r="V20">
        <f>HYPERLINK("c:\users\omer\rl-qecc-data\2026-07-07_23-34-18\postProcessing.png","plot")</f>
        <v/>
      </c>
      <c r="W20">
        <f>HYPERLINK("c:\users\omer\rl-qecc-data\2026-07-07_23-34-18\experiment.txt","experiment.txt")</f>
        <v/>
      </c>
    </row>
    <row r="21">
      <c r="H21" t="inlineStr">
        <is>
          <t>c:/users/omer/rl-qecc-data/2026-07-07_23-44-14</t>
        </is>
      </c>
      <c r="N21" t="inlineStr">
        <is>
          <t>No</t>
        </is>
      </c>
      <c r="S21" t="inlineStr">
        <is>
          <t>Done</t>
        </is>
      </c>
      <c r="V21">
        <f>HYPERLINK("c:\users\omer\rl-qecc-data\2026-07-07_23-44-14\postProcessing.png","plot")</f>
        <v/>
      </c>
      <c r="W21">
        <f>HYPERLINK("c:\users\omer\rl-qecc-data\2026-07-07_23-44-14\experiment.txt","experiment.txt")</f>
        <v/>
      </c>
    </row>
    <row r="22">
      <c r="H22" t="inlineStr">
        <is>
          <t>c:/users/omer/rl-qecc-data/2026-07-08_19-32-01</t>
        </is>
      </c>
      <c r="I22" t="n">
        <v>14</v>
      </c>
      <c r="N22" t="inlineStr">
        <is>
          <t>No</t>
        </is>
      </c>
      <c r="R22" t="n">
        <v>0.0001</v>
      </c>
      <c r="S22" t="inlineStr">
        <is>
          <t>Done</t>
        </is>
      </c>
      <c r="V22">
        <f>HYPERLINK("c:\users\omer\rl-qecc-data\2026-07-08_19-32-01\postProcessing.png","plot")</f>
        <v/>
      </c>
      <c r="W22">
        <f>HYPERLINK("c:\users\omer\rl-qecc-data\2026-07-08_19-32-01\experiment.txt","experiment.txt")</f>
        <v/>
      </c>
    </row>
    <row r="23">
      <c r="H23" t="inlineStr">
        <is>
          <t>c:/users/omer/rl-qecc-data/2026-07-08_19-37-16</t>
        </is>
      </c>
      <c r="I23" t="n">
        <v>14</v>
      </c>
      <c r="N23" t="inlineStr">
        <is>
          <t>No</t>
        </is>
      </c>
      <c r="R23" t="n">
        <v>0.0001</v>
      </c>
      <c r="S23" t="inlineStr">
        <is>
          <t>Done</t>
        </is>
      </c>
      <c r="V23">
        <f>HYPERLINK("c:\users\omer\rl-qecc-data\2026-07-08_19-37-16\postProcessing.png","plot")</f>
        <v/>
      </c>
      <c r="W23">
        <f>HYPERLINK("c:\users\omer\rl-qecc-data\2026-07-08_19-37-16\experiment.txt","experiment.txt")</f>
        <v/>
      </c>
    </row>
    <row r="24">
      <c r="H24" t="inlineStr">
        <is>
          <t>c:/users/omer/rl-qecc-data/2026-07-08_20-03-49</t>
        </is>
      </c>
      <c r="I24" t="n">
        <v>14</v>
      </c>
      <c r="N24" t="inlineStr">
        <is>
          <t>No</t>
        </is>
      </c>
      <c r="R24" t="n">
        <v>0.0001</v>
      </c>
      <c r="S24" t="inlineStr">
        <is>
          <t>Done</t>
        </is>
      </c>
      <c r="V24">
        <f>HYPERLINK("c:\users\omer\rl-qecc-data\2026-07-08_20-03-49\postProcessing.png","plot")</f>
        <v/>
      </c>
      <c r="W24">
        <f>HYPERLINK("c:\users\omer\rl-qecc-data\2026-07-08_20-03-49\experiment.txt","experiment.txt")</f>
        <v/>
      </c>
    </row>
    <row r="25">
      <c r="H25" t="inlineStr">
        <is>
          <t>c:/users/omer/rl-qecc-data/2026-07-08_20-24-25</t>
        </is>
      </c>
      <c r="I25" t="n">
        <v>14</v>
      </c>
      <c r="N25" t="inlineStr">
        <is>
          <t>No</t>
        </is>
      </c>
      <c r="R25" t="n">
        <v>0.0001</v>
      </c>
      <c r="S25" t="inlineStr">
        <is>
          <t>Done</t>
        </is>
      </c>
      <c r="V25">
        <f>HYPERLINK("c:\users\omer\rl-qecc-data\2026-07-08_20-24-25\postProcessing.png","plot")</f>
        <v/>
      </c>
      <c r="W25">
        <f>HYPERLINK("c:\users\omer\rl-qecc-data\2026-07-08_20-24-25\experiment.txt","experiment.txt")</f>
        <v/>
      </c>
    </row>
    <row r="26">
      <c r="H26" t="inlineStr">
        <is>
          <t>c:/users/omer/rl-qecc-data/2026-07-08_21-18-49</t>
        </is>
      </c>
      <c r="I26" t="n">
        <v>14</v>
      </c>
      <c r="N26" t="inlineStr">
        <is>
          <t>No</t>
        </is>
      </c>
      <c r="R26" t="n">
        <v>0.0001</v>
      </c>
      <c r="S26" t="inlineStr">
        <is>
          <t>Done</t>
        </is>
      </c>
      <c r="V26">
        <f>HYPERLINK("c:\users\omer\rl-qecc-data\2026-07-08_21-18-49\postProcessing.png","plot")</f>
        <v/>
      </c>
      <c r="W26">
        <f>HYPERLINK("c:\users\omer\rl-qecc-data\2026-07-08_21-18-49\experiment.txt","experiment.txt")</f>
        <v/>
      </c>
    </row>
    <row r="27">
      <c r="H27" t="inlineStr">
        <is>
          <t>c:/users/omer/rl-qecc-data/2026-07-08_22-18-00</t>
        </is>
      </c>
      <c r="I27" t="n">
        <v>14</v>
      </c>
      <c r="N27" t="inlineStr">
        <is>
          <t>No</t>
        </is>
      </c>
      <c r="R27" t="n">
        <v>0.0001</v>
      </c>
      <c r="S27" t="inlineStr">
        <is>
          <t>Done</t>
        </is>
      </c>
      <c r="V27">
        <f>HYPERLINK("c:\users\omer\rl-qecc-data\2026-07-08_22-18-00\postProcessing.png","plot")</f>
        <v/>
      </c>
      <c r="W27">
        <f>HYPERLINK("c:\users\omer\rl-qecc-data\2026-07-08_22-18-00\experiment.txt","experiment.txt")</f>
        <v/>
      </c>
    </row>
    <row r="28">
      <c r="H28" t="inlineStr">
        <is>
          <t>c:/users/omer/rl-qecc-data/2026-07-09_08-21-01</t>
        </is>
      </c>
      <c r="I28" t="n">
        <v>14</v>
      </c>
      <c r="N28" t="inlineStr">
        <is>
          <t>No</t>
        </is>
      </c>
      <c r="R28" t="n">
        <v>0.0001</v>
      </c>
      <c r="S28" t="inlineStr">
        <is>
          <t>Done</t>
        </is>
      </c>
      <c r="V28">
        <f>HYPERLINK("c:\users\omer\rl-qecc-data\2026-07-09_08-21-01\postProcessing.png","plot")</f>
        <v/>
      </c>
      <c r="W28">
        <f>HYPERLINK("c:\users\omer\rl-qecc-data\2026-07-09_08-21-01\experiment.txt","experiment.txt")</f>
        <v/>
      </c>
    </row>
    <row r="29">
      <c r="H29" t="inlineStr">
        <is>
          <t>c:/users/omer/rl-qecc-data/2026-07-09_10-24-36</t>
        </is>
      </c>
      <c r="I29" t="n">
        <v>28</v>
      </c>
      <c r="N29" t="inlineStr">
        <is>
          <t>No</t>
        </is>
      </c>
      <c r="R29" t="n">
        <v>0.0001</v>
      </c>
      <c r="S29" t="inlineStr">
        <is>
          <t>Done</t>
        </is>
      </c>
      <c r="V29">
        <f>HYPERLINK("c:\users\omer\rl-qecc-data\2026-07-09_10-24-36\postProcessing.png","plot")</f>
        <v/>
      </c>
      <c r="W29">
        <f>HYPERLINK("c:\users\omer\rl-qecc-data\2026-07-09_10-24-36\experiment.txt","experiment.txt")</f>
        <v/>
      </c>
    </row>
    <row r="30">
      <c r="H30" t="inlineStr">
        <is>
          <t>c:/users/omer/rl-qecc-data/2026-07-09_10-47-08</t>
        </is>
      </c>
      <c r="I30" t="n">
        <v>64</v>
      </c>
      <c r="N30" t="inlineStr">
        <is>
          <t>No</t>
        </is>
      </c>
      <c r="R30" t="n">
        <v>0.0001</v>
      </c>
      <c r="S30" t="inlineStr">
        <is>
          <t>Done</t>
        </is>
      </c>
      <c r="V30">
        <f>HYPERLINK("c:\users\omer\rl-qecc-data\2026-07-09_10-47-08\postProcessing.png","plot")</f>
        <v/>
      </c>
      <c r="W30">
        <f>HYPERLINK("c:\users\omer\rl-qecc-data\2026-07-09_10-47-08\experiment.txt","experiment.txt")</f>
        <v/>
      </c>
    </row>
    <row r="31">
      <c r="H31" t="inlineStr">
        <is>
          <t>c:/users/omer/rl-qecc-data/2026-07-09_12-20-58</t>
        </is>
      </c>
      <c r="I31" t="n">
        <v>901201</v>
      </c>
      <c r="N31" t="inlineStr">
        <is>
          <t>No</t>
        </is>
      </c>
      <c r="R31" t="n">
        <v>0.0001</v>
      </c>
      <c r="S31" t="inlineStr">
        <is>
          <t>Done</t>
        </is>
      </c>
      <c r="V31">
        <f>HYPERLINK("c:\users\omer\rl-qecc-data\2026-07-09_12-20-58\postProcessing.png","plot")</f>
        <v/>
      </c>
      <c r="W31">
        <f>HYPERLINK("c:\users\omer\rl-qecc-data\2026-07-09_12-20-58\experiment.txt","experiment.txt")</f>
        <v/>
      </c>
    </row>
    <row r="32">
      <c r="H32" t="inlineStr">
        <is>
          <t>c:/users/omer/rl-qecc-data/2026-07-09_12-39-52</t>
        </is>
      </c>
      <c r="I32" t="n">
        <v>49846</v>
      </c>
      <c r="N32" t="inlineStr">
        <is>
          <t>No</t>
        </is>
      </c>
      <c r="R32" t="n">
        <v>0.0001</v>
      </c>
      <c r="S32" t="inlineStr">
        <is>
          <t>Done</t>
        </is>
      </c>
      <c r="V32">
        <f>HYPERLINK("c:\users\omer\rl-qecc-data\2026-07-09_12-39-52\postProcessing.png","plot")</f>
        <v/>
      </c>
      <c r="W32">
        <f>HYPERLINK("c:\users\omer\rl-qecc-data\2026-07-09_12-39-52\experiment.txt","experiment.txt")</f>
        <v/>
      </c>
    </row>
    <row r="33">
      <c r="H33" t="inlineStr">
        <is>
          <t>c:/users/omer/rl-qecc-data/2026-07-09_14-00-14</t>
        </is>
      </c>
      <c r="I33" t="n">
        <v>49846</v>
      </c>
      <c r="N33" t="inlineStr">
        <is>
          <t>No</t>
        </is>
      </c>
      <c r="R33" t="n">
        <v>0.0001</v>
      </c>
      <c r="S33" t="inlineStr">
        <is>
          <t>Done</t>
        </is>
      </c>
      <c r="V33">
        <f>HYPERLINK("c:\users\omer\rl-qecc-data\2026-07-09_14-00-14\postProcessing.png","plot")</f>
        <v/>
      </c>
      <c r="W33">
        <f>HYPERLINK("c:\users\omer\rl-qecc-data\2026-07-09_14-00-14\experiment.txt","experiment.txt")</f>
        <v/>
      </c>
    </row>
    <row r="34">
      <c r="H34" t="inlineStr">
        <is>
          <t>c:/users/omer/rl-qecc-data/2026-07-09_14-00-15</t>
        </is>
      </c>
      <c r="I34" t="n">
        <v>901201</v>
      </c>
      <c r="N34" t="inlineStr">
        <is>
          <t>No</t>
        </is>
      </c>
      <c r="R34" t="n">
        <v>0.0001</v>
      </c>
      <c r="S34" t="inlineStr">
        <is>
          <t>Done</t>
        </is>
      </c>
      <c r="V34">
        <f>HYPERLINK("c:\users\omer\rl-qecc-data\2026-07-09_14-00-15\postProcessing.png","plot")</f>
        <v/>
      </c>
      <c r="W34">
        <f>HYPERLINK("c:\users\omer\rl-qecc-data\2026-07-09_14-00-15\experiment.txt","experiment.txt")</f>
        <v/>
      </c>
    </row>
    <row r="35">
      <c r="H35" t="inlineStr">
        <is>
          <t>c:/users/omer/rl-qecc-data/2026-07-09_14-03-47</t>
        </is>
      </c>
      <c r="I35" t="n">
        <v>28</v>
      </c>
      <c r="N35" t="inlineStr">
        <is>
          <t>No</t>
        </is>
      </c>
      <c r="R35" t="n">
        <v>0.0001</v>
      </c>
      <c r="S35" t="inlineStr">
        <is>
          <t>Done</t>
        </is>
      </c>
      <c r="V35">
        <f>HYPERLINK("c:\users\omer\rl-qecc-data\2026-07-09_14-03-47\postProcessing.png","plot")</f>
        <v/>
      </c>
      <c r="W35">
        <f>HYPERLINK("c:\users\omer\rl-qecc-data\2026-07-09_14-03-47\experiment.txt","experiment.txt")</f>
        <v/>
      </c>
    </row>
    <row r="36">
      <c r="H36" t="inlineStr">
        <is>
          <t>c:/users/omer/rl-qecc-data/2026-07-09_14-07-04</t>
        </is>
      </c>
      <c r="I36" t="n">
        <v>121111</v>
      </c>
      <c r="N36" t="inlineStr">
        <is>
          <t>No</t>
        </is>
      </c>
      <c r="R36" t="n">
        <v>0.0001</v>
      </c>
      <c r="S36" t="inlineStr">
        <is>
          <t>Done</t>
        </is>
      </c>
      <c r="V36">
        <f>HYPERLINK("c:\users\omer\rl-qecc-data\2026-07-09_14-07-04\postProcessing.png","plot")</f>
        <v/>
      </c>
      <c r="W36">
        <f>HYPERLINK("c:\users\omer\rl-qecc-data\2026-07-09_14-07-04\experiment.txt","experiment.txt")</f>
        <v/>
      </c>
    </row>
    <row r="37">
      <c r="H37" t="inlineStr">
        <is>
          <t>c:/users/omer/rl-qecc-data/2026-07-09_14-16-50</t>
        </is>
      </c>
      <c r="I37" t="n">
        <v>2228</v>
      </c>
      <c r="N37" t="inlineStr">
        <is>
          <t>No</t>
        </is>
      </c>
      <c r="R37" t="n">
        <v>0.0001</v>
      </c>
      <c r="S37" t="inlineStr">
        <is>
          <t>Done</t>
        </is>
      </c>
      <c r="V37">
        <f>HYPERLINK("c:\users\omer\rl-qecc-data\2026-07-09_14-16-50\postProcessing.png","plot")</f>
        <v/>
      </c>
      <c r="W37">
        <f>HYPERLINK("c:\users\omer\rl-qecc-data\2026-07-09_14-16-50\experiment.txt","experiment.txt")</f>
        <v/>
      </c>
    </row>
    <row r="38">
      <c r="H38" t="inlineStr">
        <is>
          <t>c:/users/omer/rl-qecc-data/2026-07-09_14-28-52</t>
        </is>
      </c>
      <c r="I38" t="n">
        <v>49846</v>
      </c>
      <c r="N38" t="inlineStr">
        <is>
          <t>No</t>
        </is>
      </c>
      <c r="R38" t="n">
        <v>0.0001</v>
      </c>
      <c r="S38" t="inlineStr">
        <is>
          <t>Done</t>
        </is>
      </c>
      <c r="V38">
        <f>HYPERLINK("c:\users\omer\rl-qecc-data\2026-07-09_14-28-52\postProcessing.png","plot")</f>
        <v/>
      </c>
      <c r="W38">
        <f>HYPERLINK("c:\users\omer\rl-qecc-data\2026-07-09_14-28-52\experiment.txt","experiment.txt")</f>
        <v/>
      </c>
    </row>
    <row r="39">
      <c r="H39" t="inlineStr">
        <is>
          <t>c:/users/omer/rl-qecc-data/2026-07-09_16-51-56</t>
        </is>
      </c>
      <c r="I39" t="n">
        <v>49846</v>
      </c>
      <c r="N39" t="inlineStr">
        <is>
          <t>No</t>
        </is>
      </c>
      <c r="R39" t="n">
        <v>0.0001</v>
      </c>
      <c r="S39" t="inlineStr">
        <is>
          <t>Done</t>
        </is>
      </c>
      <c r="V39">
        <f>HYPERLINK("c:\users\omer\rl-qecc-data\2026-07-09_16-51-56\postProcessing.png","plot")</f>
        <v/>
      </c>
      <c r="W39">
        <f>HYPERLINK("c:\users\omer\rl-qecc-data\2026-07-09_16-51-56\experiment.txt","experiment.txt")</f>
        <v/>
      </c>
    </row>
    <row r="40">
      <c r="H40" t="inlineStr">
        <is>
          <t>c:/users/omer/rl-qecc-data/2026-07-09_20-35-27</t>
        </is>
      </c>
      <c r="I40" t="n">
        <v>121111</v>
      </c>
      <c r="N40" t="inlineStr">
        <is>
          <t>No</t>
        </is>
      </c>
      <c r="R40" t="n">
        <v>0.1</v>
      </c>
      <c r="S40" t="inlineStr">
        <is>
          <t>Done</t>
        </is>
      </c>
      <c r="V40">
        <f>HYPERLINK("c:\users\omer\rl-qecc-data\2026-07-09_20-35-27\postProcessing.png","plot")</f>
        <v/>
      </c>
      <c r="W40">
        <f>HYPERLINK("c:\users\omer\rl-qecc-data\2026-07-09_20-35-27\experiment.txt","experiment.txt")</f>
        <v/>
      </c>
    </row>
    <row r="41">
      <c r="H41" t="inlineStr">
        <is>
          <t>c:/users/omer/rl-qecc-data/2026-07-10_10-10-42</t>
        </is>
      </c>
      <c r="I41" t="n">
        <v>121111</v>
      </c>
      <c r="N41" t="inlineStr">
        <is>
          <t>No</t>
        </is>
      </c>
      <c r="R41" t="n">
        <v>0.3</v>
      </c>
      <c r="S41" t="inlineStr">
        <is>
          <t>Done</t>
        </is>
      </c>
      <c r="V41">
        <f>HYPERLINK("c:\users\omer\rl-qecc-data\2026-07-10_10-10-42\postProcessing.png","plot")</f>
        <v/>
      </c>
      <c r="W41">
        <f>HYPERLINK("c:\users\omer\rl-qecc-data\2026-07-10_10-10-42\experiment.txt","experiment.txt")</f>
        <v/>
      </c>
    </row>
    <row r="42">
      <c r="H42" t="inlineStr">
        <is>
          <t>c:/users/omer/rl-qecc-data/2026-07-10_10-13-17</t>
        </is>
      </c>
      <c r="I42" t="n">
        <v>2844864</v>
      </c>
      <c r="N42" t="inlineStr">
        <is>
          <t>No</t>
        </is>
      </c>
      <c r="R42" t="n">
        <v>0.0001</v>
      </c>
      <c r="S42" t="inlineStr">
        <is>
          <t>Done</t>
        </is>
      </c>
      <c r="V42">
        <f>HYPERLINK("c:\users\omer\rl-qecc-data\2026-07-10_10-13-17\postProcessing.png","plot")</f>
        <v/>
      </c>
      <c r="W42">
        <f>HYPERLINK("c:\users\omer\rl-qecc-data\2026-07-10_10-13-17\experiment.txt","experiment.txt")</f>
        <v/>
      </c>
    </row>
    <row r="43">
      <c r="H43" t="inlineStr">
        <is>
          <t>c:/users/omer/rl-qecc-data/2026-07-10_10-20-26</t>
        </is>
      </c>
      <c r="I43" t="n">
        <v>881211</v>
      </c>
      <c r="N43" t="inlineStr">
        <is>
          <t>No</t>
        </is>
      </c>
      <c r="R43" t="n">
        <v>0.1</v>
      </c>
      <c r="S43" t="inlineStr">
        <is>
          <t>Done</t>
        </is>
      </c>
      <c r="V43">
        <f>HYPERLINK("c:\users\omer\rl-qecc-data\2026-07-10_10-20-26\postProcessing.png","plot")</f>
        <v/>
      </c>
      <c r="W43">
        <f>HYPERLINK("c:\users\omer\rl-qecc-data\2026-07-10_10-20-26\experiment.txt","experiment.txt")</f>
        <v/>
      </c>
    </row>
    <row r="44">
      <c r="H44" t="inlineStr">
        <is>
          <t>c:/users/omer/rl-qecc-data/2026-07-10_10-22-11</t>
        </is>
      </c>
      <c r="I44" t="n">
        <v>32843338</v>
      </c>
      <c r="N44" t="inlineStr">
        <is>
          <t>No</t>
        </is>
      </c>
      <c r="R44" t="n">
        <v>0.0001</v>
      </c>
      <c r="S44" t="inlineStr">
        <is>
          <t>Done</t>
        </is>
      </c>
      <c r="V44">
        <f>HYPERLINK("c:\users\omer\rl-qecc-data\2026-07-10_10-22-11\postProcessing.png","plot")</f>
        <v/>
      </c>
      <c r="W44">
        <f>HYPERLINK("c:\users\omer\rl-qecc-data\2026-07-10_10-22-11\experiment.txt","experiment.txt")</f>
        <v/>
      </c>
    </row>
    <row r="45">
      <c r="H45" t="inlineStr">
        <is>
          <t>c:/users/omer/rl-qecc-data/2026-07-11_00-03-44</t>
        </is>
      </c>
      <c r="I45" t="n">
        <v>59</v>
      </c>
      <c r="J45" t="inlineStr">
        <is>
          <t>6,6</t>
        </is>
      </c>
      <c r="N45" t="inlineStr">
        <is>
          <t>No</t>
        </is>
      </c>
      <c r="R45" t="n">
        <v>0.3</v>
      </c>
      <c r="S45" t="inlineStr">
        <is>
          <t>Done</t>
        </is>
      </c>
      <c r="V45">
        <f>HYPERLINK("c:\users\omer\rl-qecc-data\2026-07-11_00-03-44\postProcessing.png","plot")</f>
        <v/>
      </c>
      <c r="W45">
        <f>HYPERLINK("c:\users\omer\rl-qecc-data\2026-07-11_00-03-44\experiment.txt","experiment.txt")</f>
        <v/>
      </c>
    </row>
    <row r="46">
      <c r="H46" t="inlineStr">
        <is>
          <t>c:/users/omer/rl-qecc-data/2026-07-11_11-34-52</t>
        </is>
      </c>
      <c r="I46" t="n">
        <v>1982</v>
      </c>
      <c r="J46" t="inlineStr">
        <is>
          <t>6,6</t>
        </is>
      </c>
      <c r="N46" t="inlineStr">
        <is>
          <t>No</t>
        </is>
      </c>
      <c r="R46" t="n">
        <v>0.001</v>
      </c>
      <c r="S46" t="inlineStr">
        <is>
          <t>Done</t>
        </is>
      </c>
      <c r="V46">
        <f>HYPERLINK("c:\users\omer\rl-qecc-data\2026-07-11_11-34-52\postProcessing.png","plot")</f>
        <v/>
      </c>
      <c r="W46">
        <f>HYPERLINK("c:\users\omer\rl-qecc-data\2026-07-11_11-34-52\experiment.txt","experiment.txt")</f>
        <v/>
      </c>
    </row>
    <row r="47">
      <c r="H47" t="inlineStr">
        <is>
          <t>c:/users/omer/rl-qecc-data/2026-07-11_13-03-32</t>
        </is>
      </c>
      <c r="I47" t="n">
        <v>9959898</v>
      </c>
      <c r="J47" t="inlineStr">
        <is>
          <t>12,6</t>
        </is>
      </c>
      <c r="N47" t="inlineStr">
        <is>
          <t>No</t>
        </is>
      </c>
      <c r="R47" t="n">
        <v>0.1</v>
      </c>
      <c r="S47" t="inlineStr">
        <is>
          <t>Done</t>
        </is>
      </c>
      <c r="V47">
        <f>HYPERLINK("c:\users\omer\rl-qecc-data\2026-07-11_13-03-32\postProcessing.png","plot")</f>
        <v/>
      </c>
      <c r="W47">
        <f>HYPERLINK("c:\users\omer\rl-qecc-data\2026-07-11_13-03-32\experiment.txt","experiment.txt")</f>
        <v/>
      </c>
    </row>
    <row r="48">
      <c r="H48" t="inlineStr">
        <is>
          <t>c:/users/omer/rl-qecc-data/2026-07-13_17-13-15</t>
        </is>
      </c>
      <c r="I48" t="n">
        <v>4601982</v>
      </c>
      <c r="J48" t="inlineStr">
        <is>
          <t>6,6</t>
        </is>
      </c>
      <c r="K48" t="n">
        <v>6</v>
      </c>
      <c r="M48" t="inlineStr">
        <is>
          <t>hybrid</t>
        </is>
      </c>
      <c r="N48" t="inlineStr">
        <is>
          <t>Yes</t>
        </is>
      </c>
      <c r="O48" t="n">
        <v>0.1</v>
      </c>
      <c r="P48" t="n">
        <v>10</v>
      </c>
      <c r="Q48" t="inlineStr">
        <is>
          <t>2026-07-12_20-18-32/surrogate_6x6.pth</t>
        </is>
      </c>
      <c r="R48" t="n">
        <v>0.001</v>
      </c>
      <c r="S48" t="inlineStr">
        <is>
          <t>Done</t>
        </is>
      </c>
      <c r="V48">
        <f>HYPERLINK("c:\users\omer\rl-qecc-data\2026-07-13_17-13-15\postProcessing.png","plot")</f>
        <v/>
      </c>
      <c r="W48">
        <f>HYPERLINK("c:\users\omer\rl-qecc-data\2026-07-13_17-13-15\experiment.txt","experiment.txt")</f>
        <v/>
      </c>
    </row>
    <row r="49">
      <c r="H49" t="inlineStr">
        <is>
          <t>c:/users/omer/rl-qecc-data/2026-07-13_17-13-58</t>
        </is>
      </c>
      <c r="I49" t="n">
        <v>1982</v>
      </c>
      <c r="J49" t="inlineStr">
        <is>
          <t>6,6</t>
        </is>
      </c>
      <c r="K49" t="n">
        <v>6</v>
      </c>
      <c r="M49" t="inlineStr">
        <is>
          <t>hybrid</t>
        </is>
      </c>
      <c r="N49" t="inlineStr">
        <is>
          <t>Yes</t>
        </is>
      </c>
      <c r="O49" t="n">
        <v>0.1</v>
      </c>
      <c r="P49" t="n">
        <v>10</v>
      </c>
      <c r="Q49" t="inlineStr">
        <is>
          <t>2026-07-12_20-18-32/surrogate_6x6.pth</t>
        </is>
      </c>
      <c r="R49" t="n">
        <v>0.001</v>
      </c>
      <c r="S49" t="inlineStr">
        <is>
          <t>Done</t>
        </is>
      </c>
      <c r="V49">
        <f>HYPERLINK("c:\users\omer\rl-qecc-data\2026-07-13_17-13-58\postProcessing.png","plot")</f>
        <v/>
      </c>
      <c r="W49">
        <f>HYPERLINK("c:\users\omer\rl-qecc-data\2026-07-13_17-13-58\experiment.txt","experiment.txt")</f>
        <v/>
      </c>
    </row>
    <row r="50">
      <c r="H50" t="inlineStr">
        <is>
          <t>c:/users/omer/rl-qecc-data/2026-07-13_19-41-04</t>
        </is>
      </c>
      <c r="I50" t="n">
        <v>1111111</v>
      </c>
      <c r="J50" t="inlineStr">
        <is>
          <t>6,6</t>
        </is>
      </c>
      <c r="K50" t="n">
        <v>6</v>
      </c>
      <c r="M50" t="inlineStr">
        <is>
          <t>hybrid</t>
        </is>
      </c>
      <c r="N50" t="inlineStr">
        <is>
          <t>Yes</t>
        </is>
      </c>
      <c r="O50" t="n">
        <v>0.1</v>
      </c>
      <c r="P50" t="n">
        <v>20</v>
      </c>
      <c r="Q50" t="inlineStr">
        <is>
          <t>2026-07-12_20-18-32/surrogate_6x6.pth</t>
        </is>
      </c>
      <c r="R50" t="n">
        <v>0.01</v>
      </c>
      <c r="S50" t="inlineStr">
        <is>
          <t>Done</t>
        </is>
      </c>
      <c r="V50">
        <f>HYPERLINK("c:\users\omer\rl-qecc-data\2026-07-13_19-41-04\postProcessing.png","plot")</f>
        <v/>
      </c>
      <c r="W50">
        <f>HYPERLINK("c:\users\omer\rl-qecc-data\2026-07-13_19-41-04\experiment.txt","experiment.txt")</f>
        <v/>
      </c>
    </row>
    <row r="51">
      <c r="H51" t="inlineStr">
        <is>
          <t>c:/users/omer/rl-qecc-data/2026-07-13_19-41-37</t>
        </is>
      </c>
      <c r="I51" t="n">
        <v>22222222</v>
      </c>
      <c r="J51" t="inlineStr">
        <is>
          <t>6,6</t>
        </is>
      </c>
      <c r="K51" t="n">
        <v>6</v>
      </c>
      <c r="M51" t="inlineStr">
        <is>
          <t>hybrid</t>
        </is>
      </c>
      <c r="N51" t="inlineStr">
        <is>
          <t>Yes</t>
        </is>
      </c>
      <c r="O51" t="n">
        <v>0.1</v>
      </c>
      <c r="P51" t="n">
        <v>20</v>
      </c>
      <c r="Q51" t="inlineStr">
        <is>
          <t>2026-07-12_20-18-32/surrogate_6x6.pth</t>
        </is>
      </c>
      <c r="R51" t="n">
        <v>0.01</v>
      </c>
      <c r="S51" t="inlineStr">
        <is>
          <t>Done</t>
        </is>
      </c>
      <c r="V51">
        <f>HYPERLINK("c:\users\omer\rl-qecc-data\2026-07-13_19-41-37\postProcessing.png","plot")</f>
        <v/>
      </c>
      <c r="W51">
        <f>HYPERLINK("c:\users\omer\rl-qecc-data\2026-07-13_19-41-37\experiment.txt","experiment.txt")</f>
        <v/>
      </c>
    </row>
    <row r="52">
      <c r="H52" t="inlineStr">
        <is>
          <t>c:/users/omer/rl-qecc-data/2026-07-13_19-43-03</t>
        </is>
      </c>
      <c r="I52" t="n">
        <v>777314159</v>
      </c>
      <c r="J52" t="inlineStr">
        <is>
          <t>6,6</t>
        </is>
      </c>
      <c r="K52" t="n">
        <v>6</v>
      </c>
      <c r="M52" t="inlineStr">
        <is>
          <t>hybrid</t>
        </is>
      </c>
      <c r="N52" t="inlineStr">
        <is>
          <t>Yes</t>
        </is>
      </c>
      <c r="O52" t="n">
        <v>0.1</v>
      </c>
      <c r="P52" t="n">
        <v>20</v>
      </c>
      <c r="Q52" t="inlineStr">
        <is>
          <t>2026-07-12_20-18-32/surrogate_6x6.pth</t>
        </is>
      </c>
      <c r="R52" t="n">
        <v>0.01</v>
      </c>
      <c r="S52" t="inlineStr">
        <is>
          <t>Done</t>
        </is>
      </c>
      <c r="V52">
        <f>HYPERLINK("c:\users\omer\rl-qecc-data\2026-07-13_19-43-03\postProcessing.png","plot")</f>
        <v/>
      </c>
      <c r="W52">
        <f>HYPERLINK("c:\users\omer\rl-qecc-data\2026-07-13_19-43-03\experiment.txt","experiment.txt")</f>
        <v/>
      </c>
    </row>
    <row r="53">
      <c r="H53" t="inlineStr">
        <is>
          <t>c:/users/omer/rl-qecc-data/2026-07-13_19-43-41</t>
        </is>
      </c>
      <c r="I53" t="n">
        <v>314159</v>
      </c>
      <c r="J53" t="inlineStr">
        <is>
          <t>6,6</t>
        </is>
      </c>
      <c r="K53" t="n">
        <v>6</v>
      </c>
      <c r="M53" t="inlineStr">
        <is>
          <t>hybrid</t>
        </is>
      </c>
      <c r="N53" t="inlineStr">
        <is>
          <t>Yes</t>
        </is>
      </c>
      <c r="O53" t="n">
        <v>0.1</v>
      </c>
      <c r="P53" t="n">
        <v>20</v>
      </c>
      <c r="Q53" t="inlineStr">
        <is>
          <t>2026-07-12_20-18-32/surrogate_6x6.pth</t>
        </is>
      </c>
      <c r="R53" t="n">
        <v>0.01</v>
      </c>
      <c r="S53" t="inlineStr">
        <is>
          <t>Done</t>
        </is>
      </c>
      <c r="V53">
        <f>HYPERLINK("c:\users\omer\rl-qecc-data\2026-07-13_19-43-41\postProcessing.png","plot")</f>
        <v/>
      </c>
      <c r="W53">
        <f>HYPERLINK("c:\users\omer\rl-qecc-data\2026-07-13_19-43-41\experiment.txt","experiment.txt")</f>
        <v/>
      </c>
    </row>
    <row r="54">
      <c r="H54" t="inlineStr">
        <is>
          <t>c:/users/omer/rl-qecc-data/2026-07-13_22-57-08</t>
        </is>
      </c>
      <c r="I54" t="n">
        <v>90110</v>
      </c>
      <c r="J54" t="inlineStr">
        <is>
          <t>6,6</t>
        </is>
      </c>
      <c r="K54" t="n">
        <v>6</v>
      </c>
      <c r="M54" t="inlineStr">
        <is>
          <t>hybrid</t>
        </is>
      </c>
      <c r="N54" t="inlineStr">
        <is>
          <t>Yes</t>
        </is>
      </c>
      <c r="O54" t="n">
        <v>0.1</v>
      </c>
      <c r="P54" t="n">
        <v>20</v>
      </c>
      <c r="Q54" t="inlineStr">
        <is>
          <t>2026-07-12_20-18-32/surrogate_6x6.pth</t>
        </is>
      </c>
      <c r="R54" t="n">
        <v>0.01</v>
      </c>
      <c r="S54" t="inlineStr">
        <is>
          <t>Done</t>
        </is>
      </c>
      <c r="V54">
        <f>HYPERLINK("c:\users\omer\rl-qecc-data\2026-07-13_22-57-08\postProcessing.png","plot")</f>
        <v/>
      </c>
      <c r="W54">
        <f>HYPERLINK("c:\users\omer\rl-qecc-data\2026-07-13_22-57-08\experiment.txt","experiment.txt")</f>
        <v/>
      </c>
    </row>
    <row r="55">
      <c r="H55" t="inlineStr">
        <is>
          <t>c:/users/omer/rl-qecc-data/2026-07-14_00-57-14</t>
        </is>
      </c>
      <c r="I55" t="n">
        <v>444</v>
      </c>
      <c r="J55" t="inlineStr">
        <is>
          <t>9,6</t>
        </is>
      </c>
      <c r="K55" t="n">
        <v>1</v>
      </c>
      <c r="M55" t="inlineStr">
        <is>
          <t>hybrid</t>
        </is>
      </c>
      <c r="N55" t="inlineStr">
        <is>
          <t>Yes</t>
        </is>
      </c>
      <c r="O55" t="n">
        <v>0.1</v>
      </c>
      <c r="P55" t="n">
        <v>20</v>
      </c>
      <c r="Q55" t="inlineStr">
        <is>
          <t>2026-07-12_20-18-32/surrogate_6x6.pth</t>
        </is>
      </c>
      <c r="R55" t="n">
        <v>0.3</v>
      </c>
      <c r="S55" t="inlineStr">
        <is>
          <t>Done</t>
        </is>
      </c>
      <c r="V55">
        <f>HYPERLINK("c:\users\omer\rl-qecc-data\2026-07-14_00-57-14\postProcessing.png","plot")</f>
        <v/>
      </c>
      <c r="W55">
        <f>HYPERLINK("c:\users\omer\rl-qecc-data\2026-07-14_00-57-14\experiment.txt","experiment.txt")</f>
        <v/>
      </c>
    </row>
    <row r="56">
      <c r="H56" t="inlineStr">
        <is>
          <t>c:/users/omer/rl-qecc-data/2026-07-14_01-00-13</t>
        </is>
      </c>
      <c r="I56" t="n">
        <v>8080</v>
      </c>
      <c r="J56" t="inlineStr">
        <is>
          <t>12,6</t>
        </is>
      </c>
      <c r="K56" t="n">
        <v>1</v>
      </c>
      <c r="M56" t="inlineStr">
        <is>
          <t>hybrid</t>
        </is>
      </c>
      <c r="N56" t="inlineStr">
        <is>
          <t>Yes</t>
        </is>
      </c>
      <c r="O56" t="n">
        <v>0.1</v>
      </c>
      <c r="P56" t="n">
        <v>1</v>
      </c>
      <c r="Q56" t="inlineStr">
        <is>
          <t>2026-07-12_20-18-32/surrogate_6x6.pth</t>
        </is>
      </c>
      <c r="R56" t="n">
        <v>0.3</v>
      </c>
      <c r="S56" t="inlineStr">
        <is>
          <t>Done</t>
        </is>
      </c>
      <c r="V56">
        <f>HYPERLINK("c:\users\omer\rl-qecc-data\2026-07-14_01-00-13\postProcessing.png","plot")</f>
        <v/>
      </c>
      <c r="W56">
        <f>HYPERLINK("c:\users\omer\rl-qecc-data\2026-07-14_01-00-13\experiment.txt","experiment.txt")</f>
        <v/>
      </c>
    </row>
    <row r="57">
      <c r="H57" t="inlineStr">
        <is>
          <t>c:/users/omer/rl-qecc-data/2026-07-14_21-41-33</t>
        </is>
      </c>
      <c r="I57" t="n">
        <v>2</v>
      </c>
      <c r="J57" t="inlineStr">
        <is>
          <t>9,6</t>
        </is>
      </c>
      <c r="K57" t="n">
        <v>8</v>
      </c>
      <c r="M57" t="inlineStr">
        <is>
          <t>hybrid</t>
        </is>
      </c>
      <c r="N57" t="inlineStr">
        <is>
          <t>Yes</t>
        </is>
      </c>
      <c r="O57" t="n">
        <v>0.1</v>
      </c>
      <c r="P57" t="n">
        <v>10</v>
      </c>
      <c r="Q57" t="inlineStr">
        <is>
          <t>2026-07-12_20-18-32/surrogate_6x6.pth</t>
        </is>
      </c>
      <c r="R57" t="n">
        <v>0.003</v>
      </c>
      <c r="S57" t="inlineStr">
        <is>
          <t>Done</t>
        </is>
      </c>
      <c r="V57">
        <f>HYPERLINK("c:\users\omer\rl-qecc-data\2026-07-14_21-41-33\postProcessing.png","plot")</f>
        <v/>
      </c>
      <c r="W57">
        <f>HYPERLINK("c:\users\omer\rl-qecc-data\2026-07-14_21-41-33\experiment.txt","experiment.txt")</f>
        <v/>
      </c>
    </row>
    <row r="58">
      <c r="H58" t="inlineStr">
        <is>
          <t>c:/users/omer/rl-qecc-data/2026-07-14_21-42-45</t>
        </is>
      </c>
      <c r="I58" t="n">
        <v>90210</v>
      </c>
      <c r="J58" t="inlineStr">
        <is>
          <t>9,6</t>
        </is>
      </c>
      <c r="K58" t="n">
        <v>8</v>
      </c>
      <c r="M58" t="inlineStr">
        <is>
          <t>hybrid</t>
        </is>
      </c>
      <c r="N58" t="inlineStr">
        <is>
          <t>Yes</t>
        </is>
      </c>
      <c r="O58" t="n">
        <v>0.1</v>
      </c>
      <c r="P58" t="n">
        <v>10</v>
      </c>
      <c r="Q58" t="inlineStr">
        <is>
          <t>2026-07-12_20-18-32/surrogate_6x6.pth</t>
        </is>
      </c>
      <c r="R58" t="n">
        <v>0.003</v>
      </c>
      <c r="S58" t="inlineStr">
        <is>
          <t>Done</t>
        </is>
      </c>
      <c r="V58">
        <f>HYPERLINK("c:\users\omer\rl-qecc-data\2026-07-14_21-42-45\postProcessing.png","plot")</f>
        <v/>
      </c>
      <c r="W58">
        <f>HYPERLINK("c:\users\omer\rl-qecc-data\2026-07-14_21-42-45\experiment.txt","experiment.txt")</f>
        <v/>
      </c>
    </row>
    <row r="59">
      <c r="H59" t="inlineStr">
        <is>
          <t>c:/users/omer/rl-qecc-data/2026-07-14_21-42-52</t>
        </is>
      </c>
      <c r="I59" t="n">
        <v>466555</v>
      </c>
      <c r="J59" t="inlineStr">
        <is>
          <t>9,6</t>
        </is>
      </c>
      <c r="K59" t="n">
        <v>8</v>
      </c>
      <c r="M59" t="inlineStr">
        <is>
          <t>hybrid</t>
        </is>
      </c>
      <c r="N59" t="inlineStr">
        <is>
          <t>Yes</t>
        </is>
      </c>
      <c r="O59" t="n">
        <v>0.1</v>
      </c>
      <c r="P59" t="n">
        <v>10</v>
      </c>
      <c r="Q59" t="inlineStr">
        <is>
          <t>2026-07-12_20-18-32/surrogate_6x6.pth</t>
        </is>
      </c>
      <c r="R59" t="n">
        <v>0.003</v>
      </c>
      <c r="S59" t="inlineStr">
        <is>
          <t>Done</t>
        </is>
      </c>
      <c r="V59">
        <f>HYPERLINK("c:\users\omer\rl-qecc-data\2026-07-14_21-42-52\postProcessing.png","plot")</f>
        <v/>
      </c>
      <c r="W59">
        <f>HYPERLINK("c:\users\omer\rl-qecc-data\2026-07-14_21-42-52\experiment.txt","experiment.txt")</f>
        <v/>
      </c>
    </row>
    <row r="60">
      <c r="H60" t="inlineStr">
        <is>
          <t>c:/users/omer/rl-qecc-data/2026-07-14_21-58-14</t>
        </is>
      </c>
      <c r="I60" t="n">
        <v>111</v>
      </c>
      <c r="J60" t="inlineStr">
        <is>
          <t>9,6</t>
        </is>
      </c>
      <c r="K60" t="n">
        <v>8</v>
      </c>
      <c r="M60" t="inlineStr">
        <is>
          <t>hybrid</t>
        </is>
      </c>
      <c r="N60" t="inlineStr">
        <is>
          <t>Yes</t>
        </is>
      </c>
      <c r="O60" t="n">
        <v>0.1</v>
      </c>
      <c r="P60" t="n">
        <v>20</v>
      </c>
      <c r="Q60" t="inlineStr">
        <is>
          <t>2026-07-12_20-18-32/surrogate_6x6.pth</t>
        </is>
      </c>
      <c r="R60" t="n">
        <v>0.003</v>
      </c>
      <c r="S60" t="inlineStr">
        <is>
          <t>Done</t>
        </is>
      </c>
      <c r="V60">
        <f>HYPERLINK("c:\users\omer\rl-qecc-data\2026-07-14_21-58-14\postProcessing.png","plot")</f>
        <v/>
      </c>
      <c r="W60">
        <f>HYPERLINK("c:\users\omer\rl-qecc-data\2026-07-14_21-58-14\experiment.txt","experiment.txt")</f>
        <v/>
      </c>
    </row>
    <row r="61">
      <c r="H61" t="inlineStr">
        <is>
          <t>c:/users/omer/rl-qecc-data/2026-07-14_22-01-03</t>
        </is>
      </c>
      <c r="I61" t="n">
        <v>232323</v>
      </c>
      <c r="J61" t="inlineStr">
        <is>
          <t>9,6</t>
        </is>
      </c>
      <c r="K61" t="n">
        <v>8</v>
      </c>
      <c r="M61" t="inlineStr">
        <is>
          <t>hybrid</t>
        </is>
      </c>
      <c r="N61" t="inlineStr">
        <is>
          <t>Yes</t>
        </is>
      </c>
      <c r="O61" t="n">
        <v>0.1</v>
      </c>
      <c r="P61" t="n">
        <v>20</v>
      </c>
      <c r="Q61" t="inlineStr">
        <is>
          <t>2026-07-12_20-18-32/surrogate_6x6.pth</t>
        </is>
      </c>
      <c r="R61" t="n">
        <v>0.003</v>
      </c>
      <c r="S61" t="inlineStr">
        <is>
          <t>Done</t>
        </is>
      </c>
      <c r="V61">
        <f>HYPERLINK("c:\users\omer\rl-qecc-data\2026-07-14_22-01-03\postProcessing.png","plot")</f>
        <v/>
      </c>
      <c r="W61">
        <f>HYPERLINK("c:\users\omer\rl-qecc-data\2026-07-14_22-01-03\experiment.txt","experiment.txt")</f>
        <v/>
      </c>
    </row>
    <row r="62">
      <c r="H62" t="inlineStr">
        <is>
          <t>c:/users/omer/rl-qecc-data/2026-07-14_23-23-00</t>
        </is>
      </c>
      <c r="I62" t="n">
        <v>123456</v>
      </c>
      <c r="J62" t="inlineStr">
        <is>
          <t>9,6</t>
        </is>
      </c>
      <c r="K62" t="n">
        <v>8</v>
      </c>
      <c r="M62" t="inlineStr">
        <is>
          <t>hybrid</t>
        </is>
      </c>
      <c r="N62" t="inlineStr">
        <is>
          <t>Yes</t>
        </is>
      </c>
      <c r="O62" t="n">
        <v>0.1</v>
      </c>
      <c r="P62" t="n">
        <v>20</v>
      </c>
      <c r="Q62" t="inlineStr">
        <is>
          <t>2026-07-12_21-15-58/surrogate_6x6.pth</t>
        </is>
      </c>
      <c r="R62" t="n">
        <v>0.003</v>
      </c>
      <c r="S62" t="inlineStr">
        <is>
          <t>Done</t>
        </is>
      </c>
      <c r="V62">
        <f>HYPERLINK("c:\users\omer\rl-qecc-data\2026-07-14_23-23-00\postProcessing.png","plot")</f>
        <v/>
      </c>
      <c r="W62">
        <f>HYPERLINK("c:\users\omer\rl-qecc-data\2026-07-14_23-23-00\experiment.txt","experiment.txt")</f>
        <v/>
      </c>
    </row>
    <row r="63">
      <c r="H63" t="inlineStr">
        <is>
          <t>c:/users/omer/rl-qecc-data/2026-07-15_06-24-42</t>
        </is>
      </c>
      <c r="I63" t="n">
        <v>460101</v>
      </c>
      <c r="J63" t="inlineStr">
        <is>
          <t>9,6</t>
        </is>
      </c>
      <c r="K63" t="n">
        <v>8</v>
      </c>
      <c r="M63" t="inlineStr">
        <is>
          <t>hybrid</t>
        </is>
      </c>
      <c r="N63" t="inlineStr">
        <is>
          <t>Yes</t>
        </is>
      </c>
      <c r="O63" t="n">
        <v>0.1</v>
      </c>
      <c r="P63" t="n">
        <v>10</v>
      </c>
      <c r="Q63" t="inlineStr">
        <is>
          <t>2026-07-12_20-18-32/surrogate_6x6.pth</t>
        </is>
      </c>
      <c r="R63" t="n">
        <v>0.003</v>
      </c>
      <c r="S63" t="inlineStr">
        <is>
          <t>Done</t>
        </is>
      </c>
      <c r="V63">
        <f>HYPERLINK("c:\users\omer\rl-qecc-data\2026-07-15_06-24-42\postProcessing.png","plot")</f>
        <v/>
      </c>
      <c r="W63">
        <f>HYPERLINK("c:\users\omer\rl-qecc-data\2026-07-15_06-24-42\experiment.txt","experiment.txt")</f>
        <v/>
      </c>
    </row>
    <row r="64">
      <c r="H64" t="inlineStr">
        <is>
          <t>c:/users/omer/rl-qecc-data/2026-07-15_07-12-39</t>
        </is>
      </c>
      <c r="I64" t="n">
        <v>460101</v>
      </c>
      <c r="J64" t="inlineStr">
        <is>
          <t>9,6</t>
        </is>
      </c>
      <c r="K64" t="n">
        <v>8</v>
      </c>
      <c r="M64" t="inlineStr">
        <is>
          <t>hybrid</t>
        </is>
      </c>
      <c r="N64" t="inlineStr">
        <is>
          <t>Yes</t>
        </is>
      </c>
      <c r="O64" t="n">
        <v>0.1</v>
      </c>
      <c r="P64" t="n">
        <v>10</v>
      </c>
      <c r="Q64" t="inlineStr">
        <is>
          <t>2026-07-12_21-15-58/surrogate_6x6.pth</t>
        </is>
      </c>
      <c r="R64" t="n">
        <v>0.003</v>
      </c>
      <c r="S64" t="inlineStr">
        <is>
          <t>Done</t>
        </is>
      </c>
      <c r="V64">
        <f>HYPERLINK("c:\users\omer\rl-qecc-data\2026-07-15_07-12-39\postProcessing.png","plot")</f>
        <v/>
      </c>
      <c r="W64">
        <f>HYPERLINK("c:\users\omer\rl-qecc-data\2026-07-15_07-12-39\experiment.txt","experiment.txt")</f>
        <v/>
      </c>
    </row>
    <row r="65">
      <c r="H65" t="inlineStr">
        <is>
          <t>c:/users/omer/rl-qecc-data/2026-07-15_13-49-55</t>
        </is>
      </c>
      <c r="I65" t="n">
        <v>232323</v>
      </c>
      <c r="J65" t="inlineStr">
        <is>
          <t>9,6</t>
        </is>
      </c>
      <c r="K65" t="n">
        <v>8</v>
      </c>
      <c r="M65" t="inlineStr">
        <is>
          <t>hybrid</t>
        </is>
      </c>
      <c r="N65" t="inlineStr">
        <is>
          <t>Yes</t>
        </is>
      </c>
      <c r="O65" t="n">
        <v>0.1</v>
      </c>
      <c r="P65" t="n">
        <v>10</v>
      </c>
      <c r="Q65" t="inlineStr">
        <is>
          <t>2026-07-12_21-15-58/surrogate_6x6.pth</t>
        </is>
      </c>
      <c r="R65" t="n">
        <v>0.003</v>
      </c>
      <c r="S65" t="inlineStr">
        <is>
          <t>Done</t>
        </is>
      </c>
      <c r="V65">
        <f>HYPERLINK("c:\users\omer\rl-qecc-data\2026-07-15_13-49-55\postProcessing.png","plot")</f>
        <v/>
      </c>
      <c r="W65">
        <f>HYPERLINK("c:\users\omer\rl-qecc-data\2026-07-15_13-49-55\experiment.txt","experiment.txt")</f>
        <v/>
      </c>
    </row>
    <row r="66">
      <c r="H66" t="inlineStr">
        <is>
          <t>c:/users/omer/rl-qecc-data/2026-07-15_14-55-03_3158085</t>
        </is>
      </c>
      <c r="I66" t="n">
        <v>460101</v>
      </c>
      <c r="J66" t="inlineStr">
        <is>
          <t>9,6</t>
        </is>
      </c>
      <c r="K66" t="n">
        <v>8</v>
      </c>
      <c r="M66" t="inlineStr">
        <is>
          <t>hybrid</t>
        </is>
      </c>
      <c r="N66" t="inlineStr">
        <is>
          <t>Yes</t>
        </is>
      </c>
      <c r="O66" t="n">
        <v>0.1</v>
      </c>
      <c r="P66" t="n">
        <v>20</v>
      </c>
      <c r="Q66" t="inlineStr">
        <is>
          <t>2026-07-12_10-56-04/surrogate_6x6.pth</t>
        </is>
      </c>
      <c r="R66" t="n">
        <v>0.003</v>
      </c>
      <c r="S66" t="inlineStr">
        <is>
          <t>Done</t>
        </is>
      </c>
      <c r="V66">
        <f>HYPERLINK("c:\users\omer\rl-qecc-data\2026-07-15_14-55-03_3158085\postProcessing.png","plot")</f>
        <v/>
      </c>
      <c r="W66">
        <f>HYPERLINK("c:\users\omer\rl-qecc-data\2026-07-15_14-55-03_3158085\experiment.txt","experiment.txt")</f>
        <v/>
      </c>
    </row>
    <row r="67">
      <c r="H67" t="inlineStr">
        <is>
          <t>c:/users/omer/rl-qecc-data/2026-07-15_15-19-50_184940</t>
        </is>
      </c>
      <c r="I67" t="n">
        <v>111</v>
      </c>
      <c r="J67" t="inlineStr">
        <is>
          <t>9,6</t>
        </is>
      </c>
      <c r="K67" t="n">
        <v>8</v>
      </c>
      <c r="M67" t="inlineStr">
        <is>
          <t>hybrid</t>
        </is>
      </c>
      <c r="N67" t="inlineStr">
        <is>
          <t>Yes</t>
        </is>
      </c>
      <c r="O67" t="n">
        <v>0.1</v>
      </c>
      <c r="P67" t="n">
        <v>10</v>
      </c>
      <c r="Q67" t="inlineStr">
        <is>
          <t>2026-07-12_21-15-58/surrogate_6x6.pth</t>
        </is>
      </c>
      <c r="R67" t="n">
        <v>0.003</v>
      </c>
      <c r="S67" t="inlineStr">
        <is>
          <t>Done</t>
        </is>
      </c>
      <c r="V67">
        <f>HYPERLINK("c:\users\omer\rl-qecc-data\2026-07-15_15-19-50_184940\postProcessing.png","plot")</f>
        <v/>
      </c>
      <c r="W67">
        <f>HYPERLINK("c:\users\omer\rl-qecc-data\2026-07-15_15-19-50_184940\experiment.txt","experiment.txt")</f>
        <v/>
      </c>
    </row>
    <row r="68">
      <c r="H68" t="inlineStr">
        <is>
          <t>c:/users/omer/rl-qecc-data/2026-07-15_15-53-06_3953074</t>
        </is>
      </c>
      <c r="I68" t="n">
        <v>2</v>
      </c>
      <c r="J68" t="inlineStr">
        <is>
          <t>9,6</t>
        </is>
      </c>
      <c r="K68" t="n">
        <v>8</v>
      </c>
      <c r="M68" t="inlineStr">
        <is>
          <t>hybrid</t>
        </is>
      </c>
      <c r="N68" t="inlineStr">
        <is>
          <t>Yes</t>
        </is>
      </c>
      <c r="O68" t="n">
        <v>0.1</v>
      </c>
      <c r="P68" t="n">
        <v>10</v>
      </c>
      <c r="Q68" t="inlineStr">
        <is>
          <t>2026-07-12_21-15-58/surrogate_6x6.pth</t>
        </is>
      </c>
      <c r="R68" t="n">
        <v>0.003</v>
      </c>
      <c r="S68" t="inlineStr">
        <is>
          <t>Done</t>
        </is>
      </c>
      <c r="V68">
        <f>HYPERLINK("c:\users\omer\rl-qecc-data\2026-07-15_15-53-06_3953074\postProcessing.png","plot")</f>
        <v/>
      </c>
      <c r="W68">
        <f>HYPERLINK("c:\users\omer\rl-qecc-data\2026-07-15_15-53-06_3953074\experiment.txt","experiment.txt")</f>
        <v/>
      </c>
    </row>
    <row r="69">
      <c r="H69" t="inlineStr">
        <is>
          <t>c:/users/omer/rl-qecc-data/2026-07-15_20-20-03_3795808</t>
        </is>
      </c>
      <c r="I69" t="n">
        <v>232323</v>
      </c>
      <c r="J69" t="inlineStr">
        <is>
          <t>15,3</t>
        </is>
      </c>
      <c r="K69" t="n">
        <v>8</v>
      </c>
      <c r="M69" t="inlineStr">
        <is>
          <t>hybrid</t>
        </is>
      </c>
      <c r="N69" t="inlineStr">
        <is>
          <t>Yes</t>
        </is>
      </c>
      <c r="O69" t="n">
        <v>1</v>
      </c>
      <c r="P69" t="n">
        <v>0</v>
      </c>
      <c r="Q69" t="inlineStr">
        <is>
          <t>2026-07-12_21-15-58/surrogate_6x6.pth</t>
        </is>
      </c>
      <c r="R69" t="n">
        <v>0.003</v>
      </c>
      <c r="S69" t="inlineStr">
        <is>
          <t>Done</t>
        </is>
      </c>
      <c r="V69">
        <f>HYPERLINK("c:\users\omer\rl-qecc-data\2026-07-15_20-20-03_3795808\postProcessing.png","plot")</f>
        <v/>
      </c>
      <c r="W69">
        <f>HYPERLINK("c:\users\omer\rl-qecc-data\2026-07-15_20-20-03_3795808\experiment.txt","experiment.txt")</f>
        <v/>
      </c>
    </row>
    <row r="70">
      <c r="H70" t="inlineStr">
        <is>
          <t>c:/users/omer/rl-qecc-data/2026-07-15_22-42-29_3273591</t>
        </is>
      </c>
      <c r="I70" t="n">
        <v>2</v>
      </c>
      <c r="J70" t="inlineStr">
        <is>
          <t>15,3</t>
        </is>
      </c>
      <c r="K70" t="n">
        <v>10</v>
      </c>
      <c r="M70" t="inlineStr">
        <is>
          <t>hybrid</t>
        </is>
      </c>
      <c r="N70" t="inlineStr">
        <is>
          <t>Yes</t>
        </is>
      </c>
      <c r="O70" t="n">
        <v>0.1</v>
      </c>
      <c r="P70" t="n">
        <v>10</v>
      </c>
      <c r="Q70" t="inlineStr">
        <is>
          <t>2026-07-12_21-15-58/surrogate_6x6.pth</t>
        </is>
      </c>
      <c r="R70" t="n">
        <v>0.003</v>
      </c>
      <c r="S70" t="inlineStr">
        <is>
          <t>Done</t>
        </is>
      </c>
      <c r="V70">
        <f>HYPERLINK("c:\users\omer\rl-qecc-data\2026-07-15_22-42-29_3273591\postProcessing.png","plot")</f>
        <v/>
      </c>
      <c r="W70">
        <f>HYPERLINK("c:\users\omer\rl-qecc-data\2026-07-15_22-42-29_3273591\experiment.txt","experiment.txt")</f>
        <v/>
      </c>
    </row>
    <row r="71">
      <c r="H71" t="inlineStr">
        <is>
          <t>c:/users/omer/rl-qecc-data/2026-07-15_23-52-37_217901</t>
        </is>
      </c>
      <c r="I71" t="n">
        <v>232323</v>
      </c>
      <c r="J71" t="inlineStr">
        <is>
          <t>15,3</t>
        </is>
      </c>
      <c r="K71" t="n">
        <v>10</v>
      </c>
      <c r="M71" t="inlineStr">
        <is>
          <t>hybrid</t>
        </is>
      </c>
      <c r="N71" t="inlineStr">
        <is>
          <t>Yes</t>
        </is>
      </c>
      <c r="O71" t="n">
        <v>0.1</v>
      </c>
      <c r="P71" t="n">
        <v>10</v>
      </c>
      <c r="Q71" t="inlineStr">
        <is>
          <t>2026-07-12_21-15-58/surrogate_6x6.pth</t>
        </is>
      </c>
      <c r="R71" t="n">
        <v>0.003</v>
      </c>
      <c r="S71" t="inlineStr">
        <is>
          <t>Done</t>
        </is>
      </c>
      <c r="V71">
        <f>HYPERLINK("c:\users\omer\rl-qecc-data\2026-07-15_23-52-37_217901\postProcessing.png","plot")</f>
        <v/>
      </c>
      <c r="W71">
        <f>HYPERLINK("c:\users\omer\rl-qecc-data\2026-07-15_23-52-37_217901\experiment.txt","experiment.txt")</f>
        <v/>
      </c>
    </row>
    <row r="72">
      <c r="H72" t="inlineStr">
        <is>
          <t>c:/users/omer/rl-qecc-data/2026-07-16_00-29-11_3987924</t>
        </is>
      </c>
      <c r="I72" t="n">
        <v>123456</v>
      </c>
      <c r="J72" t="inlineStr">
        <is>
          <t>9,6</t>
        </is>
      </c>
      <c r="K72" t="n">
        <v>8</v>
      </c>
      <c r="M72" t="inlineStr">
        <is>
          <t>hybrid</t>
        </is>
      </c>
      <c r="N72" t="inlineStr">
        <is>
          <t>Yes</t>
        </is>
      </c>
      <c r="O72" t="n">
        <v>1</v>
      </c>
      <c r="P72" t="n">
        <v>0</v>
      </c>
      <c r="Q72" t="inlineStr">
        <is>
          <t>2026-07-12_21-15-58/surrogate_6x6.pth</t>
        </is>
      </c>
      <c r="R72" t="n">
        <v>0.003</v>
      </c>
      <c r="S72" t="inlineStr">
        <is>
          <t>Done</t>
        </is>
      </c>
      <c r="V72">
        <f>HYPERLINK("c:\users\omer\rl-qecc-data\2026-07-16_00-29-11_3987924\postProcessing.png","plot")</f>
        <v/>
      </c>
      <c r="W72">
        <f>HYPERLINK("c:\users\omer\rl-qecc-data\2026-07-16_00-29-11_3987924\experiment.txt","experiment.txt")</f>
        <v/>
      </c>
    </row>
    <row r="73">
      <c r="H73" t="inlineStr">
        <is>
          <t>c:/users/omer/rl-qecc-data/2026-07-16_04-37-43_3843084</t>
        </is>
      </c>
      <c r="I73" t="n">
        <v>99999</v>
      </c>
      <c r="J73" t="inlineStr">
        <is>
          <t>15,3</t>
        </is>
      </c>
      <c r="K73" t="n">
        <v>8</v>
      </c>
      <c r="M73" t="inlineStr">
        <is>
          <t>hybrid</t>
        </is>
      </c>
      <c r="N73" t="inlineStr">
        <is>
          <t>Yes</t>
        </is>
      </c>
      <c r="O73" t="n">
        <v>1</v>
      </c>
      <c r="P73" t="n">
        <v>0</v>
      </c>
      <c r="Q73" t="inlineStr">
        <is>
          <t>2026-07-12_21-15-58/surrogate_6x6.pth</t>
        </is>
      </c>
      <c r="R73" t="n">
        <v>0.003</v>
      </c>
      <c r="S73" t="inlineStr">
        <is>
          <t>Done</t>
        </is>
      </c>
      <c r="V73">
        <f>HYPERLINK("c:\users\omer\rl-qecc-data\2026-07-16_04-37-43_3843084\postProcessing.png","plot")</f>
        <v/>
      </c>
      <c r="W73">
        <f>HYPERLINK("c:\users\omer\rl-qecc-data\2026-07-16_04-37-43_3843084\experiment.txt","experiment.txt")</f>
        <v/>
      </c>
    </row>
    <row r="74">
      <c r="H74" t="inlineStr">
        <is>
          <t>c:/users/omer/rl-qecc-data/2026-07-16_07-19-26_3308483</t>
        </is>
      </c>
      <c r="I74" t="n">
        <v>90210</v>
      </c>
      <c r="J74" t="inlineStr">
        <is>
          <t>9,6</t>
        </is>
      </c>
      <c r="K74" t="n">
        <v>8</v>
      </c>
      <c r="M74" t="inlineStr">
        <is>
          <t>hybrid</t>
        </is>
      </c>
      <c r="N74" t="inlineStr">
        <is>
          <t>Yes</t>
        </is>
      </c>
      <c r="O74" t="n">
        <v>1</v>
      </c>
      <c r="P74" t="n">
        <v>0</v>
      </c>
      <c r="Q74" t="inlineStr">
        <is>
          <t>2026-07-12_21-15-58/surrogate_6x6.pth</t>
        </is>
      </c>
      <c r="R74" t="n">
        <v>0.003</v>
      </c>
      <c r="S74" t="inlineStr">
        <is>
          <t>Done</t>
        </is>
      </c>
      <c r="V74">
        <f>HYPERLINK("c:\users\omer\rl-qecc-data\2026-07-16_07-19-26_3308483\postProcessing.png","plot")</f>
        <v/>
      </c>
      <c r="W74">
        <f>HYPERLINK("c:\users\omer\rl-qecc-data\2026-07-16_07-19-26_3308483\experiment.txt","experiment.txt")</f>
        <v/>
      </c>
    </row>
    <row r="75">
      <c r="H75" t="inlineStr">
        <is>
          <t>c:/users/omer/rl-qecc-data/2026-07-16_08-19-58_252676</t>
        </is>
      </c>
      <c r="I75" t="n">
        <v>466555</v>
      </c>
      <c r="J75" t="inlineStr">
        <is>
          <t>9,6</t>
        </is>
      </c>
      <c r="K75" t="n">
        <v>8</v>
      </c>
      <c r="M75" t="inlineStr">
        <is>
          <t>hybrid</t>
        </is>
      </c>
      <c r="N75" t="inlineStr">
        <is>
          <t>Yes</t>
        </is>
      </c>
      <c r="O75" t="n">
        <v>1</v>
      </c>
      <c r="P75" t="n">
        <v>0</v>
      </c>
      <c r="Q75" t="inlineStr">
        <is>
          <t>2026-07-12_21-15-58/surrogate_6x6.pth</t>
        </is>
      </c>
      <c r="R75" t="n">
        <v>0.003</v>
      </c>
      <c r="S75" t="inlineStr">
        <is>
          <t>Done</t>
        </is>
      </c>
      <c r="V75">
        <f>HYPERLINK("c:\users\omer\rl-qecc-data\2026-07-16_08-19-58_252676\postProcessing.png","plot")</f>
        <v/>
      </c>
      <c r="W75">
        <f>HYPERLINK("c:\users\omer\rl-qecc-data\2026-07-16_08-19-58_252676\experiment.txt","experiment.txt")</f>
        <v/>
      </c>
    </row>
    <row r="76">
      <c r="H76" t="inlineStr">
        <is>
          <t>c:/users/omer/rl-qecc-data/2026-07-16_09-14-26_4022547</t>
        </is>
      </c>
      <c r="I76" t="n">
        <v>101010</v>
      </c>
      <c r="J76" t="inlineStr">
        <is>
          <t>9,6</t>
        </is>
      </c>
      <c r="K76" t="n">
        <v>8</v>
      </c>
      <c r="M76" t="inlineStr">
        <is>
          <t>hybrid</t>
        </is>
      </c>
      <c r="N76" t="inlineStr">
        <is>
          <t>Yes</t>
        </is>
      </c>
      <c r="O76" t="n">
        <v>1</v>
      </c>
      <c r="P76" t="n">
        <v>0</v>
      </c>
      <c r="Q76" t="inlineStr">
        <is>
          <t>2026-07-12_21-15-58/surrogate_6x6.pth</t>
        </is>
      </c>
      <c r="R76" t="n">
        <v>0.003</v>
      </c>
      <c r="S76" t="inlineStr">
        <is>
          <t>Done</t>
        </is>
      </c>
      <c r="V76">
        <f>HYPERLINK("c:\users\omer\rl-qecc-data\2026-07-16_09-14-26_4022547\postProcessing.png","plot")</f>
        <v/>
      </c>
      <c r="W76">
        <f>HYPERLINK("c:\users\omer\rl-qecc-data\2026-07-16_09-14-26_4022547\experiment.txt","experiment.txt")</f>
        <v/>
      </c>
    </row>
    <row r="77">
      <c r="H77" t="inlineStr">
        <is>
          <t>c:/users/omer/rl-qecc-data/2026-07-16_17-17-14_3346485</t>
        </is>
      </c>
      <c r="I77" t="n">
        <v>101010</v>
      </c>
      <c r="J77" t="inlineStr">
        <is>
          <t>9,6</t>
        </is>
      </c>
      <c r="K77" t="n">
        <v>8</v>
      </c>
      <c r="M77" t="inlineStr">
        <is>
          <t>hybrid</t>
        </is>
      </c>
      <c r="N77" t="inlineStr">
        <is>
          <t>Yes</t>
        </is>
      </c>
      <c r="O77" t="n">
        <v>0.1</v>
      </c>
      <c r="P77" t="n">
        <v>50</v>
      </c>
      <c r="Q77" t="inlineStr">
        <is>
          <t>2026-07-12_21-15-58/surrogate_6x6.pth</t>
        </is>
      </c>
      <c r="R77" t="n">
        <v>0.003</v>
      </c>
      <c r="S77" t="inlineStr">
        <is>
          <t>Done</t>
        </is>
      </c>
      <c r="V77">
        <f>HYPERLINK("c:\users\omer\rl-qecc-data\2026-07-16_17-17-14_3346485\postProcessing.png","plot")</f>
        <v/>
      </c>
      <c r="W77">
        <f>HYPERLINK("c:\users\omer\rl-qecc-data\2026-07-16_17-17-14_3346485\experiment.txt","experiment.txt")</f>
        <v/>
      </c>
    </row>
    <row r="78">
      <c r="H78" t="inlineStr">
        <is>
          <t>c:/users/omer/rl-qecc-data/2026-07-16_17-31-22_288767</t>
        </is>
      </c>
      <c r="I78" t="n">
        <v>111</v>
      </c>
      <c r="J78" t="inlineStr">
        <is>
          <t>9,6</t>
        </is>
      </c>
      <c r="K78" t="n">
        <v>8</v>
      </c>
      <c r="M78" t="inlineStr">
        <is>
          <t>hybrid</t>
        </is>
      </c>
      <c r="N78" t="inlineStr">
        <is>
          <t>Yes</t>
        </is>
      </c>
      <c r="O78" t="n">
        <v>0.1</v>
      </c>
      <c r="P78" t="n">
        <v>50</v>
      </c>
      <c r="Q78" t="inlineStr">
        <is>
          <t>2026-07-12_21-15-58/surrogate_6x6.pth</t>
        </is>
      </c>
      <c r="R78" t="n">
        <v>0.003</v>
      </c>
      <c r="S78" t="inlineStr">
        <is>
          <t>Done</t>
        </is>
      </c>
      <c r="V78">
        <f>HYPERLINK("c:\users\omer\rl-qecc-data\2026-07-16_17-31-22_288767\postProcessing.png","plot")</f>
        <v/>
      </c>
      <c r="W78">
        <f>HYPERLINK("c:\users\omer\rl-qecc-data\2026-07-16_17-31-22_288767\experiment.txt","experiment.txt")</f>
        <v/>
      </c>
    </row>
    <row r="79">
      <c r="H79" t="inlineStr">
        <is>
          <t>c:/users/omer/rl-qecc-data/2026-07-22_14-57-19_253968</t>
        </is>
      </c>
      <c r="I79" t="n">
        <v>22222222</v>
      </c>
      <c r="J79" t="inlineStr">
        <is>
          <t>6,6</t>
        </is>
      </c>
      <c r="K79" t="n">
        <v>6</v>
      </c>
      <c r="M79" t="inlineStr">
        <is>
          <t>hybrid</t>
        </is>
      </c>
      <c r="N79" t="inlineStr">
        <is>
          <t>Yes</t>
        </is>
      </c>
      <c r="O79" t="n">
        <v>0.1</v>
      </c>
      <c r="P79" t="n">
        <v>20</v>
      </c>
      <c r="Q79" t="inlineStr">
        <is>
          <t>2026-07-12_20-18-32/surrogate_6x6.pth</t>
        </is>
      </c>
      <c r="R79" t="n">
        <v>0.01</v>
      </c>
      <c r="S79" t="inlineStr">
        <is>
          <t>Done</t>
        </is>
      </c>
      <c r="V79">
        <f>HYPERLINK("c:\users\omer\rl-qecc-data\2026-07-22_14-57-19_253968\postProcessing.png","plot")</f>
        <v/>
      </c>
      <c r="W79">
        <f>HYPERLINK("c:\users\omer\rl-qecc-data\2026-07-22_14-57-19_253968\experiment.txt","experiment.txt")</f>
        <v/>
      </c>
    </row>
    <row r="80">
      <c r="H80" t="inlineStr">
        <is>
          <t>c:/users/omer/rl-qecc-data/2026-07-22_14-57-19_681200</t>
        </is>
      </c>
      <c r="I80" t="n">
        <v>90110</v>
      </c>
      <c r="J80" t="inlineStr">
        <is>
          <t>6,6</t>
        </is>
      </c>
      <c r="K80" t="n">
        <v>6</v>
      </c>
      <c r="M80" t="inlineStr">
        <is>
          <t>hybrid</t>
        </is>
      </c>
      <c r="N80" t="inlineStr">
        <is>
          <t>Yes</t>
        </is>
      </c>
      <c r="O80" t="n">
        <v>0.1</v>
      </c>
      <c r="P80" t="n">
        <v>20</v>
      </c>
      <c r="Q80" t="inlineStr">
        <is>
          <t>2026-07-12_20-18-32/surrogate_6x6.pth</t>
        </is>
      </c>
      <c r="R80" t="n">
        <v>0.01</v>
      </c>
      <c r="S80" t="inlineStr">
        <is>
          <t>Done</t>
        </is>
      </c>
      <c r="V80">
        <f>HYPERLINK("c:\users\omer\rl-qecc-data\2026-07-22_14-57-19_681200\postProcessing.png","plot")</f>
        <v/>
      </c>
      <c r="W80">
        <f>HYPERLINK("c:\users\omer\rl-qecc-data\2026-07-22_14-57-19_681200\experiment.txt","experiment.txt")</f>
        <v/>
      </c>
    </row>
    <row r="81">
      <c r="H81" t="inlineStr">
        <is>
          <t>c:/users/omer/rl-qecc-data/2026-07-22_19-18-43_3744902</t>
        </is>
      </c>
      <c r="I81" t="n">
        <v>1001</v>
      </c>
      <c r="J81" t="inlineStr">
        <is>
          <t>6,6</t>
        </is>
      </c>
      <c r="K81" t="n">
        <v>12</v>
      </c>
      <c r="M81" t="inlineStr">
        <is>
          <t>hybrid</t>
        </is>
      </c>
      <c r="N81" t="inlineStr">
        <is>
          <t>Yes</t>
        </is>
      </c>
      <c r="O81" t="n">
        <v>0.1</v>
      </c>
      <c r="P81" t="n">
        <v>0</v>
      </c>
      <c r="Q81" t="inlineStr">
        <is>
          <t>2026-07-12_21-15-58/surrogate_6x6.pth</t>
        </is>
      </c>
      <c r="R81" t="n">
        <v>0.003</v>
      </c>
      <c r="S81" t="inlineStr">
        <is>
          <t>Done</t>
        </is>
      </c>
      <c r="V81">
        <f>HYPERLINK("c:\users\omer\rl-qecc-data\2026-07-22_19-18-43_3744902\postProcessing.png","plot")</f>
        <v/>
      </c>
      <c r="W81">
        <f>HYPERLINK("c:\users\omer\rl-qecc-data\2026-07-22_19-18-43_3744902\experiment.txt","experiment.txt")</f>
        <v/>
      </c>
    </row>
    <row r="82">
      <c r="H82" t="inlineStr">
        <is>
          <t>c:/users/omer/rl-qecc-data/2026-07-22_19-18-43_3745017</t>
        </is>
      </c>
      <c r="I82" t="n">
        <v>2002</v>
      </c>
      <c r="J82" t="inlineStr">
        <is>
          <t>6,6</t>
        </is>
      </c>
      <c r="K82" t="n">
        <v>12</v>
      </c>
      <c r="M82" t="inlineStr">
        <is>
          <t>hybrid</t>
        </is>
      </c>
      <c r="N82" t="inlineStr">
        <is>
          <t>Yes</t>
        </is>
      </c>
      <c r="O82" t="n">
        <v>0.1</v>
      </c>
      <c r="P82" t="n">
        <v>0</v>
      </c>
      <c r="Q82" t="inlineStr">
        <is>
          <t>2026-07-12_21-15-58/surrogate_6x6.pth</t>
        </is>
      </c>
      <c r="R82" t="n">
        <v>0.003</v>
      </c>
      <c r="S82" t="inlineStr">
        <is>
          <t>Done</t>
        </is>
      </c>
      <c r="V82">
        <f>HYPERLINK("c:\users\omer\rl-qecc-data\2026-07-22_19-18-43_3745017\postProcessing.png","plot")</f>
        <v/>
      </c>
      <c r="W82">
        <f>HYPERLINK("c:\users\omer\rl-qecc-data\2026-07-22_19-18-43_3745017\experiment.txt","experiment.txt")</f>
        <v/>
      </c>
    </row>
    <row r="83">
      <c r="H83" t="inlineStr">
        <is>
          <t>c:/users/omer/rl-qecc-data/2026-07-22_19-18-43_3745112</t>
        </is>
      </c>
      <c r="I83" t="n">
        <v>3003</v>
      </c>
      <c r="J83" t="inlineStr">
        <is>
          <t>6,6</t>
        </is>
      </c>
      <c r="K83" t="n">
        <v>12</v>
      </c>
      <c r="M83" t="inlineStr">
        <is>
          <t>hybrid</t>
        </is>
      </c>
      <c r="N83" t="inlineStr">
        <is>
          <t>Yes</t>
        </is>
      </c>
      <c r="O83" t="n">
        <v>0.1</v>
      </c>
      <c r="P83" t="n">
        <v>0</v>
      </c>
      <c r="Q83" t="inlineStr">
        <is>
          <t>2026-07-12_21-15-58/surrogate_6x6.pth</t>
        </is>
      </c>
      <c r="R83" t="n">
        <v>0.003</v>
      </c>
      <c r="S83" t="inlineStr">
        <is>
          <t>Done</t>
        </is>
      </c>
      <c r="V83">
        <f>HYPERLINK("c:\users\omer\rl-qecc-data\2026-07-22_19-18-43_3745112\postProcessing.png","plot")</f>
        <v/>
      </c>
      <c r="W83">
        <f>HYPERLINK("c:\users\omer\rl-qecc-data\2026-07-22_19-18-43_3745112\experiment.txt","experiment.txt")</f>
        <v/>
      </c>
    </row>
    <row r="84">
      <c r="H84" t="inlineStr">
        <is>
          <t>c:/users/omer/rl-qecc-data/2026-07-22_20-18-47_276717</t>
        </is>
      </c>
      <c r="I84" t="n">
        <v>5005</v>
      </c>
      <c r="J84" t="inlineStr">
        <is>
          <t>6,6</t>
        </is>
      </c>
      <c r="K84" t="n">
        <v>12</v>
      </c>
      <c r="M84" t="inlineStr">
        <is>
          <t>hybrid</t>
        </is>
      </c>
      <c r="N84" t="inlineStr">
        <is>
          <t>Yes</t>
        </is>
      </c>
      <c r="O84" t="n">
        <v>0.1</v>
      </c>
      <c r="P84" t="n">
        <v>0</v>
      </c>
      <c r="Q84" t="inlineStr">
        <is>
          <t>2026-07-12_21-15-58/surrogate_6x6.pth</t>
        </is>
      </c>
      <c r="R84" t="n">
        <v>0.003</v>
      </c>
      <c r="S84" t="inlineStr">
        <is>
          <t>Done</t>
        </is>
      </c>
      <c r="V84">
        <f>HYPERLINK("c:\users\omer\rl-qecc-data\2026-07-22_20-18-47_276717\postProcessing.png","plot")</f>
        <v/>
      </c>
      <c r="W84">
        <f>HYPERLINK("c:\users\omer\rl-qecc-data\2026-07-22_20-18-47_276717\experiment.txt","experiment.txt")</f>
        <v/>
      </c>
    </row>
    <row r="85">
      <c r="H85" t="inlineStr">
        <is>
          <t>c:/users/omer/rl-qecc-data/2026-07-22_20-18-47_276848</t>
        </is>
      </c>
      <c r="I85" t="n">
        <v>4004</v>
      </c>
      <c r="J85" t="inlineStr">
        <is>
          <t>6,6</t>
        </is>
      </c>
      <c r="K85" t="n">
        <v>12</v>
      </c>
      <c r="M85" t="inlineStr">
        <is>
          <t>hybrid</t>
        </is>
      </c>
      <c r="N85" t="inlineStr">
        <is>
          <t>Yes</t>
        </is>
      </c>
      <c r="O85" t="n">
        <v>0.1</v>
      </c>
      <c r="P85" t="n">
        <v>0</v>
      </c>
      <c r="Q85" t="inlineStr">
        <is>
          <t>2026-07-12_21-15-58/surrogate_6x6.pth</t>
        </is>
      </c>
      <c r="R85" t="n">
        <v>0.003</v>
      </c>
      <c r="S85" t="inlineStr">
        <is>
          <t>Done</t>
        </is>
      </c>
      <c r="V85">
        <f>HYPERLINK("c:\users\omer\rl-qecc-data\2026-07-22_20-18-47_276848\postProcessing.png","plot")</f>
        <v/>
      </c>
      <c r="W85">
        <f>HYPERLINK("c:\users\omer\rl-qecc-data\2026-07-22_20-18-47_276848\experiment.txt","experiment.txt")</f>
        <v/>
      </c>
    </row>
    <row r="86">
      <c r="H86" t="inlineStr">
        <is>
          <t>c:/users/omer/rl-qecc-data/2026-07-22_20-18-47_276927</t>
        </is>
      </c>
      <c r="I86" t="n">
        <v>6006</v>
      </c>
      <c r="J86" t="inlineStr">
        <is>
          <t>6,6</t>
        </is>
      </c>
      <c r="K86" t="n">
        <v>12</v>
      </c>
      <c r="M86" t="inlineStr">
        <is>
          <t>hybrid</t>
        </is>
      </c>
      <c r="N86" t="inlineStr">
        <is>
          <t>Yes</t>
        </is>
      </c>
      <c r="O86" t="n">
        <v>0.1</v>
      </c>
      <c r="P86" t="n">
        <v>0</v>
      </c>
      <c r="Q86" t="inlineStr">
        <is>
          <t>2026-07-12_21-15-58/surrogate_6x6.pth</t>
        </is>
      </c>
      <c r="R86" t="n">
        <v>0.003</v>
      </c>
      <c r="S86" t="inlineStr">
        <is>
          <t>Done</t>
        </is>
      </c>
      <c r="V86">
        <f>HYPERLINK("c:\users\omer\rl-qecc-data\2026-07-22_20-18-47_276927\postProcessing.png","plot")</f>
        <v/>
      </c>
      <c r="W86">
        <f>HYPERLINK("c:\users\omer\rl-qecc-data\2026-07-22_20-18-47_276927\experiment.txt","experiment.txt")</f>
        <v/>
      </c>
    </row>
    <row r="87">
      <c r="H87" t="inlineStr">
        <is>
          <t>c:/users/omer/rl-qecc-data/2026-07-22_20-21-11_704765</t>
        </is>
      </c>
      <c r="I87" t="n">
        <v>2002</v>
      </c>
      <c r="J87" t="inlineStr">
        <is>
          <t>6,6</t>
        </is>
      </c>
      <c r="K87" t="n">
        <v>12</v>
      </c>
      <c r="M87" t="inlineStr">
        <is>
          <t>hybrid</t>
        </is>
      </c>
      <c r="N87" t="inlineStr">
        <is>
          <t>Yes</t>
        </is>
      </c>
      <c r="O87" t="n">
        <v>0.1</v>
      </c>
      <c r="P87" t="n">
        <v>10</v>
      </c>
      <c r="Q87" t="inlineStr">
        <is>
          <t>2026-07-12_21-15-58/surrogate_6x6.pth</t>
        </is>
      </c>
      <c r="R87" t="n">
        <v>0.003</v>
      </c>
      <c r="S87" t="inlineStr">
        <is>
          <t>Done</t>
        </is>
      </c>
      <c r="V87">
        <f>HYPERLINK("c:\users\omer\rl-qecc-data\2026-07-22_20-21-11_704765\postProcessing.png","plot")</f>
        <v/>
      </c>
      <c r="W87">
        <f>HYPERLINK("c:\users\omer\rl-qecc-data\2026-07-22_20-21-11_704765\experiment.txt","experiment.txt")</f>
        <v/>
      </c>
    </row>
    <row r="88">
      <c r="H88" t="inlineStr">
        <is>
          <t>c:/users/omer/rl-qecc-data/2026-07-22_20-21-11_704843</t>
        </is>
      </c>
      <c r="I88" t="n">
        <v>1001</v>
      </c>
      <c r="J88" t="inlineStr">
        <is>
          <t>6,6</t>
        </is>
      </c>
      <c r="K88" t="n">
        <v>12</v>
      </c>
      <c r="M88" t="inlineStr">
        <is>
          <t>hybrid</t>
        </is>
      </c>
      <c r="N88" t="inlineStr">
        <is>
          <t>Yes</t>
        </is>
      </c>
      <c r="O88" t="n">
        <v>0.1</v>
      </c>
      <c r="P88" t="n">
        <v>10</v>
      </c>
      <c r="Q88" t="inlineStr">
        <is>
          <t>2026-07-12_21-15-58/surrogate_6x6.pth</t>
        </is>
      </c>
      <c r="R88" t="n">
        <v>0.003</v>
      </c>
      <c r="S88" t="inlineStr">
        <is>
          <t>Done</t>
        </is>
      </c>
      <c r="V88">
        <f>HYPERLINK("c:\users\omer\rl-qecc-data\2026-07-22_20-21-11_704843\postProcessing.png","plot")</f>
        <v/>
      </c>
      <c r="W88">
        <f>HYPERLINK("c:\users\omer\rl-qecc-data\2026-07-22_20-21-11_704843\experiment.txt","experiment.txt")</f>
        <v/>
      </c>
    </row>
    <row r="89">
      <c r="H89" t="inlineStr">
        <is>
          <t>c:/users/omer/rl-qecc-data/2026-07-23_02-39-30_730126</t>
        </is>
      </c>
      <c r="I89" t="n">
        <v>3003</v>
      </c>
      <c r="J89" t="inlineStr">
        <is>
          <t>6,6</t>
        </is>
      </c>
      <c r="K89" t="n">
        <v>12</v>
      </c>
      <c r="M89" t="inlineStr">
        <is>
          <t>hybrid</t>
        </is>
      </c>
      <c r="N89" t="inlineStr">
        <is>
          <t>Yes</t>
        </is>
      </c>
      <c r="O89" t="n">
        <v>0.1</v>
      </c>
      <c r="P89" t="n">
        <v>10</v>
      </c>
      <c r="Q89" t="inlineStr">
        <is>
          <t>2026-07-12_21-15-58/surrogate_6x6.pth</t>
        </is>
      </c>
      <c r="R89" t="n">
        <v>0.003</v>
      </c>
      <c r="S89" t="inlineStr">
        <is>
          <t>Done</t>
        </is>
      </c>
      <c r="V89">
        <f>HYPERLINK("c:\users\omer\rl-qecc-data\2026-07-23_02-39-30_730126\postProcessing.png","plot")</f>
        <v/>
      </c>
      <c r="W89">
        <f>HYPERLINK("c:\users\omer\rl-qecc-data\2026-07-23_02-39-30_730126\experiment.txt","experiment.txt")</f>
        <v/>
      </c>
    </row>
    <row r="90">
      <c r="H90" t="inlineStr">
        <is>
          <t>c:/users/omer/rl-qecc-data/2026-07-23_02-43-47_3614886</t>
        </is>
      </c>
      <c r="I90" t="n">
        <v>4004</v>
      </c>
      <c r="J90" t="inlineStr">
        <is>
          <t>6,6</t>
        </is>
      </c>
      <c r="K90" t="n">
        <v>12</v>
      </c>
      <c r="M90" t="inlineStr">
        <is>
          <t>hybrid</t>
        </is>
      </c>
      <c r="N90" t="inlineStr">
        <is>
          <t>Yes</t>
        </is>
      </c>
      <c r="O90" t="n">
        <v>0.1</v>
      </c>
      <c r="P90" t="n">
        <v>10</v>
      </c>
      <c r="Q90" t="inlineStr">
        <is>
          <t>2026-07-12_21-15-58/surrogate_6x6.pth</t>
        </is>
      </c>
      <c r="R90" t="n">
        <v>0.003</v>
      </c>
      <c r="S90" t="inlineStr">
        <is>
          <t>Done</t>
        </is>
      </c>
      <c r="V90">
        <f>HYPERLINK("c:\users\omer\rl-qecc-data\2026-07-23_02-43-47_3614886\postProcessing.png","plot")</f>
        <v/>
      </c>
      <c r="W90">
        <f>HYPERLINK("c:\users\omer\rl-qecc-data\2026-07-23_02-43-47_3614886\experiment.txt","experiment.txt")</f>
        <v/>
      </c>
    </row>
    <row r="91">
      <c r="H91" t="inlineStr">
        <is>
          <t>c:/users/omer/rl-qecc-data/2026-07-23_02-43-47_3615829</t>
        </is>
      </c>
      <c r="I91" t="n">
        <v>5005</v>
      </c>
      <c r="J91" t="inlineStr">
        <is>
          <t>6,6</t>
        </is>
      </c>
      <c r="K91" t="n">
        <v>12</v>
      </c>
      <c r="M91" t="inlineStr">
        <is>
          <t>hybrid</t>
        </is>
      </c>
      <c r="N91" t="inlineStr">
        <is>
          <t>Yes</t>
        </is>
      </c>
      <c r="O91" t="n">
        <v>0.1</v>
      </c>
      <c r="P91" t="n">
        <v>10</v>
      </c>
      <c r="Q91" t="inlineStr">
        <is>
          <t>2026-07-12_21-15-58/surrogate_6x6.pth</t>
        </is>
      </c>
      <c r="R91" t="n">
        <v>0.003</v>
      </c>
      <c r="S91" t="inlineStr">
        <is>
          <t>Done</t>
        </is>
      </c>
      <c r="V91">
        <f>HYPERLINK("c:\users\omer\rl-qecc-data\2026-07-23_02-43-47_3615829\postProcessing.png","plot")</f>
        <v/>
      </c>
      <c r="W91">
        <f>HYPERLINK("c:\users\omer\rl-qecc-data\2026-07-23_02-43-47_3615829\experiment.txt","experiment.txt")</f>
        <v/>
      </c>
    </row>
    <row r="92">
      <c r="H92" t="inlineStr">
        <is>
          <t>c:/users/omer/rl-qecc-data/2026-07-23_03-19-24_733258</t>
        </is>
      </c>
      <c r="I92" t="n">
        <v>6006</v>
      </c>
      <c r="J92" t="inlineStr">
        <is>
          <t>6,6</t>
        </is>
      </c>
      <c r="K92" t="n">
        <v>12</v>
      </c>
      <c r="M92" t="inlineStr">
        <is>
          <t>hybrid</t>
        </is>
      </c>
      <c r="N92" t="inlineStr">
        <is>
          <t>Yes</t>
        </is>
      </c>
      <c r="O92" t="n">
        <v>0.1</v>
      </c>
      <c r="P92" t="n">
        <v>10</v>
      </c>
      <c r="Q92" t="inlineStr">
        <is>
          <t>2026-07-12_21-15-58/surrogate_6x6.pth</t>
        </is>
      </c>
      <c r="R92" t="n">
        <v>0.003</v>
      </c>
      <c r="S92" t="inlineStr">
        <is>
          <t>Done</t>
        </is>
      </c>
      <c r="V92">
        <f>HYPERLINK("c:\users\omer\rl-qecc-data\2026-07-23_03-19-24_733258\postProcessing.png","plot")</f>
        <v/>
      </c>
      <c r="W92">
        <f>HYPERLINK("c:\users\omer\rl-qecc-data\2026-07-23_03-19-24_733258\experiment.txt","experiment.txt")</f>
        <v/>
      </c>
    </row>
    <row r="93">
      <c r="H93" t="inlineStr">
        <is>
          <t>c:/users/omer/rl-qecc-data/2026-07-23_03-21-47_3619889</t>
        </is>
      </c>
      <c r="I93" t="n">
        <v>1001</v>
      </c>
      <c r="J93" t="inlineStr">
        <is>
          <t>6,6</t>
        </is>
      </c>
      <c r="K93" t="n">
        <v>12</v>
      </c>
      <c r="M93" t="inlineStr">
        <is>
          <t>hybrid</t>
        </is>
      </c>
      <c r="N93" t="inlineStr">
        <is>
          <t>Yes</t>
        </is>
      </c>
      <c r="O93" t="n">
        <v>0.1</v>
      </c>
      <c r="P93" t="n">
        <v>50</v>
      </c>
      <c r="Q93" t="inlineStr">
        <is>
          <t>2026-07-12_21-15-58/surrogate_6x6.pth</t>
        </is>
      </c>
      <c r="R93" t="n">
        <v>0.003</v>
      </c>
      <c r="S93" t="inlineStr">
        <is>
          <t>Done</t>
        </is>
      </c>
      <c r="V93">
        <f>HYPERLINK("c:\users\omer\rl-qecc-data\2026-07-23_03-21-47_3619889\postProcessing.png","plot")</f>
        <v/>
      </c>
      <c r="W93">
        <f>HYPERLINK("c:\users\omer\rl-qecc-data\2026-07-23_03-21-47_3619889\experiment.txt","experiment.txt")</f>
        <v/>
      </c>
    </row>
    <row r="94">
      <c r="H94" t="inlineStr">
        <is>
          <t>c:/users/omer/rl-qecc-data/2026-07-23_03-23-05_734201</t>
        </is>
      </c>
      <c r="I94" t="n">
        <v>2002</v>
      </c>
      <c r="J94" t="inlineStr">
        <is>
          <t>6,6</t>
        </is>
      </c>
      <c r="K94" t="n">
        <v>12</v>
      </c>
      <c r="M94" t="inlineStr">
        <is>
          <t>hybrid</t>
        </is>
      </c>
      <c r="N94" t="inlineStr">
        <is>
          <t>Yes</t>
        </is>
      </c>
      <c r="O94" t="n">
        <v>0.1</v>
      </c>
      <c r="P94" t="n">
        <v>50</v>
      </c>
      <c r="Q94" t="inlineStr">
        <is>
          <t>2026-07-12_21-15-58/surrogate_6x6.pth</t>
        </is>
      </c>
      <c r="R94" t="n">
        <v>0.003</v>
      </c>
      <c r="S94" t="inlineStr">
        <is>
          <t>Done</t>
        </is>
      </c>
      <c r="V94">
        <f>HYPERLINK("c:\users\omer\rl-qecc-data\2026-07-23_03-23-05_734201\postProcessing.png","plot")</f>
        <v/>
      </c>
      <c r="W94">
        <f>HYPERLINK("c:\users\omer\rl-qecc-data\2026-07-23_03-23-05_734201\experiment.txt","experiment.txt")</f>
        <v/>
      </c>
    </row>
    <row r="95">
      <c r="H95" t="inlineStr">
        <is>
          <t>c:/users/omer/rl-qecc-data/2026-07-23_03-59-00_3777928</t>
        </is>
      </c>
      <c r="I95" t="n">
        <v>3003</v>
      </c>
      <c r="J95" t="inlineStr">
        <is>
          <t>6,6</t>
        </is>
      </c>
      <c r="K95" t="n">
        <v>12</v>
      </c>
      <c r="M95" t="inlineStr">
        <is>
          <t>hybrid</t>
        </is>
      </c>
      <c r="N95" t="inlineStr">
        <is>
          <t>Yes</t>
        </is>
      </c>
      <c r="O95" t="n">
        <v>0.1</v>
      </c>
      <c r="P95" t="n">
        <v>50</v>
      </c>
      <c r="Q95" t="inlineStr">
        <is>
          <t>2026-07-12_21-15-58/surrogate_6x6.pth</t>
        </is>
      </c>
      <c r="R95" t="n">
        <v>0.003</v>
      </c>
      <c r="S95" t="inlineStr">
        <is>
          <t>Done</t>
        </is>
      </c>
      <c r="V95">
        <f>HYPERLINK("c:\users\omer\rl-qecc-data\2026-07-23_03-59-00_3777928\postProcessing.png","plot")</f>
        <v/>
      </c>
      <c r="W95">
        <f>HYPERLINK("c:\users\omer\rl-qecc-data\2026-07-23_03-59-00_3777928\experiment.txt","experiment.txt")</f>
        <v/>
      </c>
    </row>
    <row r="96">
      <c r="H96" t="inlineStr">
        <is>
          <t>c:/users/omer/rl-qecc-data/2026-07-23_03-59-00_3778025</t>
        </is>
      </c>
      <c r="I96" t="n">
        <v>4004</v>
      </c>
      <c r="J96" t="inlineStr">
        <is>
          <t>6,6</t>
        </is>
      </c>
      <c r="K96" t="n">
        <v>12</v>
      </c>
      <c r="M96" t="inlineStr">
        <is>
          <t>hybrid</t>
        </is>
      </c>
      <c r="N96" t="inlineStr">
        <is>
          <t>Yes</t>
        </is>
      </c>
      <c r="O96" t="n">
        <v>0.1</v>
      </c>
      <c r="P96" t="n">
        <v>50</v>
      </c>
      <c r="Q96" t="inlineStr">
        <is>
          <t>2026-07-12_21-15-58/surrogate_6x6.pth</t>
        </is>
      </c>
      <c r="R96" t="n">
        <v>0.003</v>
      </c>
      <c r="S96" t="inlineStr">
        <is>
          <t>Done</t>
        </is>
      </c>
      <c r="V96">
        <f>HYPERLINK("c:\users\omer\rl-qecc-data\2026-07-23_03-59-00_3778025\postProcessing.png","plot")</f>
        <v/>
      </c>
      <c r="W96">
        <f>HYPERLINK("c:\users\omer\rl-qecc-data\2026-07-23_03-59-00_3778025\experiment.txt","experiment.txt")</f>
        <v/>
      </c>
    </row>
    <row r="97">
      <c r="H97" t="inlineStr">
        <is>
          <t>c:/users/omer/rl-qecc-data/2026-07-23_09-49-04_3803742</t>
        </is>
      </c>
      <c r="I97" t="n">
        <v>5005</v>
      </c>
      <c r="J97" t="inlineStr">
        <is>
          <t>6,6</t>
        </is>
      </c>
      <c r="K97" t="n">
        <v>12</v>
      </c>
      <c r="M97" t="inlineStr">
        <is>
          <t>hybrid</t>
        </is>
      </c>
      <c r="N97" t="inlineStr">
        <is>
          <t>Yes</t>
        </is>
      </c>
      <c r="O97" t="n">
        <v>0.1</v>
      </c>
      <c r="P97" t="n">
        <v>50</v>
      </c>
      <c r="Q97" t="inlineStr">
        <is>
          <t>2026-07-12_21-15-58/surrogate_6x6.pth</t>
        </is>
      </c>
      <c r="R97" t="n">
        <v>0.003</v>
      </c>
      <c r="S97" t="inlineStr">
        <is>
          <t>Done</t>
        </is>
      </c>
      <c r="V97">
        <f>HYPERLINK("c:\users\omer\rl-qecc-data\2026-07-23_09-49-04_3803742\postProcessing.png","plot")</f>
        <v/>
      </c>
      <c r="W97">
        <f>HYPERLINK("c:\users\omer\rl-qecc-data\2026-07-23_09-49-04_3803742\experiment.txt","experiment.txt")</f>
        <v/>
      </c>
    </row>
    <row r="98">
      <c r="H98" t="inlineStr">
        <is>
          <t>c:/users/omer/rl-qecc-data/2026-07-23_09-49-33_3645399</t>
        </is>
      </c>
      <c r="I98" t="n">
        <v>6006</v>
      </c>
      <c r="J98" t="inlineStr">
        <is>
          <t>6,6</t>
        </is>
      </c>
      <c r="K98" t="n">
        <v>12</v>
      </c>
      <c r="M98" t="inlineStr">
        <is>
          <t>hybrid</t>
        </is>
      </c>
      <c r="N98" t="inlineStr">
        <is>
          <t>Yes</t>
        </is>
      </c>
      <c r="O98" t="n">
        <v>0.1</v>
      </c>
      <c r="P98" t="n">
        <v>50</v>
      </c>
      <c r="Q98" t="inlineStr">
        <is>
          <t>2026-07-12_21-15-58/surrogate_6x6.pth</t>
        </is>
      </c>
      <c r="R98" t="n">
        <v>0.003</v>
      </c>
      <c r="S98" t="inlineStr">
        <is>
          <t>Done</t>
        </is>
      </c>
      <c r="V98">
        <f>HYPERLINK("c:\users\omer\rl-qecc-data\2026-07-23_09-49-33_3645399\postProcessing.png","plot")</f>
        <v/>
      </c>
      <c r="W98">
        <f>HYPERLINK("c:\users\omer\rl-qecc-data\2026-07-23_09-49-33_3645399\experiment.txt","experiment.txt")</f>
        <v/>
      </c>
    </row>
    <row r="99">
      <c r="H99" t="inlineStr">
        <is>
          <t>c:/users/omer/rl-qecc-data/2026-07-23_09-50-08_760381</t>
        </is>
      </c>
      <c r="I99" t="n">
        <v>1001</v>
      </c>
      <c r="J99" t="inlineStr">
        <is>
          <t>6,6</t>
        </is>
      </c>
      <c r="K99" t="n">
        <v>12</v>
      </c>
      <c r="M99" t="inlineStr">
        <is>
          <t>hybrid</t>
        </is>
      </c>
      <c r="N99" t="inlineStr">
        <is>
          <t>Yes</t>
        </is>
      </c>
      <c r="O99" t="n">
        <v>0.1</v>
      </c>
      <c r="P99" t="n">
        <v>200</v>
      </c>
      <c r="Q99" t="inlineStr">
        <is>
          <t>2026-07-12_21-15-58/surrogate_6x6.pth</t>
        </is>
      </c>
      <c r="R99" t="n">
        <v>0.003</v>
      </c>
      <c r="S99" t="inlineStr">
        <is>
          <t>Done</t>
        </is>
      </c>
      <c r="V99">
        <f>HYPERLINK("c:\users\omer\rl-qecc-data\2026-07-23_09-50-08_760381\postProcessing.png","plot")</f>
        <v/>
      </c>
      <c r="W99">
        <f>HYPERLINK("c:\users\omer\rl-qecc-data\2026-07-23_09-50-08_760381\experiment.txt","experiment.txt")</f>
        <v/>
      </c>
    </row>
    <row r="100">
      <c r="H100" t="inlineStr">
        <is>
          <t>c:/users/omer/rl-qecc-data/2026-07-23_10-21-26_3648285</t>
        </is>
      </c>
      <c r="I100" t="n">
        <v>2002</v>
      </c>
      <c r="J100" t="inlineStr">
        <is>
          <t>6,6</t>
        </is>
      </c>
      <c r="K100" t="n">
        <v>12</v>
      </c>
      <c r="M100" t="inlineStr">
        <is>
          <t>hybrid</t>
        </is>
      </c>
      <c r="N100" t="inlineStr">
        <is>
          <t>Yes</t>
        </is>
      </c>
      <c r="O100" t="n">
        <v>0.1</v>
      </c>
      <c r="P100" t="n">
        <v>200</v>
      </c>
      <c r="Q100" t="inlineStr">
        <is>
          <t>2026-07-12_21-15-58/surrogate_6x6.pth</t>
        </is>
      </c>
      <c r="R100" t="n">
        <v>0.003</v>
      </c>
      <c r="S100" t="inlineStr">
        <is>
          <t>Done</t>
        </is>
      </c>
      <c r="V100">
        <f>HYPERLINK("c:\users\omer\rl-qecc-data\2026-07-23_10-21-26_3648285\postProcessing.png","plot")</f>
        <v/>
      </c>
      <c r="W100">
        <f>HYPERLINK("c:\users\omer\rl-qecc-data\2026-07-23_10-21-26_3648285\experiment.txt","experiment.txt")</f>
        <v/>
      </c>
    </row>
    <row r="101">
      <c r="H101" t="inlineStr">
        <is>
          <t>c:/users/omer/rl-qecc-data/2026-07-23_10-26-58_324404</t>
        </is>
      </c>
      <c r="I101" t="n">
        <v>3003</v>
      </c>
      <c r="J101" t="inlineStr">
        <is>
          <t>6,6</t>
        </is>
      </c>
      <c r="K101" t="n">
        <v>12</v>
      </c>
      <c r="M101" t="inlineStr">
        <is>
          <t>hybrid</t>
        </is>
      </c>
      <c r="N101" t="inlineStr">
        <is>
          <t>Yes</t>
        </is>
      </c>
      <c r="O101" t="n">
        <v>0.1</v>
      </c>
      <c r="P101" t="n">
        <v>200</v>
      </c>
      <c r="Q101" t="inlineStr">
        <is>
          <t>2026-07-12_21-15-58/surrogate_6x6.pth</t>
        </is>
      </c>
      <c r="R101" t="n">
        <v>0.003</v>
      </c>
      <c r="S101" t="inlineStr">
        <is>
          <t>Done</t>
        </is>
      </c>
      <c r="V101">
        <f>HYPERLINK("c:\users\omer\rl-qecc-data\2026-07-23_10-26-58_324404\postProcessing.png","plot")</f>
        <v/>
      </c>
      <c r="W101">
        <f>HYPERLINK("c:\users\omer\rl-qecc-data\2026-07-23_10-26-58_324404\experiment.txt","experiment.txt")</f>
        <v/>
      </c>
    </row>
    <row r="102">
      <c r="H102" t="inlineStr">
        <is>
          <t>c:/users/omer/rl-qecc-data/2026-07-23_10-30-48_3649405</t>
        </is>
      </c>
      <c r="I102" t="n">
        <v>4004</v>
      </c>
      <c r="J102" t="inlineStr">
        <is>
          <t>6,6</t>
        </is>
      </c>
      <c r="K102" t="n">
        <v>12</v>
      </c>
      <c r="M102" t="inlineStr">
        <is>
          <t>hybrid</t>
        </is>
      </c>
      <c r="N102" t="inlineStr">
        <is>
          <t>Yes</t>
        </is>
      </c>
      <c r="O102" t="n">
        <v>0.1</v>
      </c>
      <c r="P102" t="n">
        <v>200</v>
      </c>
      <c r="Q102" t="inlineStr">
        <is>
          <t>2026-07-12_21-15-58/surrogate_6x6.pth</t>
        </is>
      </c>
      <c r="R102" t="n">
        <v>0.003</v>
      </c>
      <c r="S102" t="inlineStr">
        <is>
          <t>Done</t>
        </is>
      </c>
      <c r="V102">
        <f>HYPERLINK("c:\users\omer\rl-qecc-data\2026-07-23_10-30-48_3649405\postProcessing.png","plot")</f>
        <v/>
      </c>
      <c r="W102">
        <f>HYPERLINK("c:\users\omer\rl-qecc-data\2026-07-23_10-30-48_3649405\experiment.txt","experiment.txt")</f>
        <v/>
      </c>
    </row>
    <row r="103">
      <c r="H103" t="inlineStr">
        <is>
          <t>c:/users/omer/rl-qecc-data/2026-07-23_10-35-04_763592</t>
        </is>
      </c>
      <c r="I103" t="n">
        <v>5005</v>
      </c>
      <c r="J103" t="inlineStr">
        <is>
          <t>6,6</t>
        </is>
      </c>
      <c r="K103" t="n">
        <v>12</v>
      </c>
      <c r="M103" t="inlineStr">
        <is>
          <t>hybrid</t>
        </is>
      </c>
      <c r="N103" t="inlineStr">
        <is>
          <t>Yes</t>
        </is>
      </c>
      <c r="O103" t="n">
        <v>0.1</v>
      </c>
      <c r="P103" t="n">
        <v>200</v>
      </c>
      <c r="Q103" t="inlineStr">
        <is>
          <t>2026-07-12_21-15-58/surrogate_6x6.pth</t>
        </is>
      </c>
      <c r="R103" t="n">
        <v>0.003</v>
      </c>
      <c r="S103" t="inlineStr">
        <is>
          <t>Done</t>
        </is>
      </c>
      <c r="V103">
        <f>HYPERLINK("c:\users\omer\rl-qecc-data\2026-07-23_10-35-04_763592\postProcessing.png","plot")</f>
        <v/>
      </c>
      <c r="W103">
        <f>HYPERLINK("c:\users\omer\rl-qecc-data\2026-07-23_10-35-04_763592\experiment.txt","experiment.txt")</f>
        <v/>
      </c>
    </row>
    <row r="104">
      <c r="H104" t="inlineStr">
        <is>
          <t>c:/users/omer/rl-qecc-data/2026-07-23_11-04-08_766658</t>
        </is>
      </c>
      <c r="I104" t="n">
        <v>6006</v>
      </c>
      <c r="J104" t="inlineStr">
        <is>
          <t>6,6</t>
        </is>
      </c>
      <c r="K104" t="n">
        <v>12</v>
      </c>
      <c r="M104" t="inlineStr">
        <is>
          <t>hybrid</t>
        </is>
      </c>
      <c r="N104" t="inlineStr">
        <is>
          <t>Yes</t>
        </is>
      </c>
      <c r="O104" t="n">
        <v>0.1</v>
      </c>
      <c r="P104" t="n">
        <v>200</v>
      </c>
      <c r="Q104" t="inlineStr">
        <is>
          <t>2026-07-12_21-15-58/surrogate_6x6.pth</t>
        </is>
      </c>
      <c r="R104" t="n">
        <v>0.003</v>
      </c>
      <c r="S104" t="inlineStr">
        <is>
          <t>Done</t>
        </is>
      </c>
      <c r="V104">
        <f>HYPERLINK("c:\users\omer\rl-qecc-data\2026-07-23_11-04-08_766658\postProcessing.png","plot")</f>
        <v/>
      </c>
      <c r="W104">
        <f>HYPERLINK("c:\users\omer\rl-qecc-data\2026-07-23_11-04-08_766658\experiment.txt","experiment.txt")</f>
        <v/>
      </c>
    </row>
    <row r="105">
      <c r="H105" t="inlineStr">
        <is>
          <t>c:/users/omer/rl-qecc-data/2026-07-23_16-32-07_351545</t>
        </is>
      </c>
      <c r="I105" t="n">
        <v>1001</v>
      </c>
      <c r="J105" t="inlineStr">
        <is>
          <t>6,6</t>
        </is>
      </c>
      <c r="K105" t="n">
        <v>12</v>
      </c>
      <c r="M105" t="inlineStr">
        <is>
          <t>hybrid</t>
        </is>
      </c>
      <c r="N105" t="inlineStr">
        <is>
          <t>Yes</t>
        </is>
      </c>
      <c r="O105" t="n">
        <v>0.1</v>
      </c>
      <c r="P105" t="n">
        <v>500</v>
      </c>
      <c r="Q105" t="inlineStr">
        <is>
          <t>2026-07-12_21-15-58/surrogate_6x6.pth</t>
        </is>
      </c>
      <c r="R105" t="n">
        <v>0.003</v>
      </c>
      <c r="S105" t="inlineStr">
        <is>
          <t>Done</t>
        </is>
      </c>
      <c r="V105">
        <f>HYPERLINK("c:\users\omer\rl-qecc-data\2026-07-23_16-32-07_351545\postProcessing.png","plot")</f>
        <v/>
      </c>
      <c r="W105">
        <f>HYPERLINK("c:\users\omer\rl-qecc-data\2026-07-23_16-32-07_351545\experiment.txt","experiment.txt")</f>
        <v/>
      </c>
    </row>
    <row r="106">
      <c r="H106" t="inlineStr">
        <is>
          <t>c:/users/omer/rl-qecc-data/2026-07-23_16-39-33_352442</t>
        </is>
      </c>
      <c r="I106" t="n">
        <v>2002</v>
      </c>
      <c r="J106" t="inlineStr">
        <is>
          <t>6,6</t>
        </is>
      </c>
      <c r="K106" t="n">
        <v>12</v>
      </c>
      <c r="M106" t="inlineStr">
        <is>
          <t>hybrid</t>
        </is>
      </c>
      <c r="N106" t="inlineStr">
        <is>
          <t>Yes</t>
        </is>
      </c>
      <c r="O106" t="n">
        <v>0.1</v>
      </c>
      <c r="P106" t="n">
        <v>500</v>
      </c>
      <c r="Q106" t="inlineStr">
        <is>
          <t>2026-07-12_21-15-58/surrogate_6x6.pth</t>
        </is>
      </c>
      <c r="R106" t="n">
        <v>0.003</v>
      </c>
      <c r="S106" t="inlineStr">
        <is>
          <t>Done</t>
        </is>
      </c>
      <c r="V106">
        <f>HYPERLINK("c:\users\omer\rl-qecc-data\2026-07-23_16-39-33_352442\postProcessing.png","plot")</f>
        <v/>
      </c>
      <c r="W106">
        <f>HYPERLINK("c:\users\omer\rl-qecc-data\2026-07-23_16-39-33_352442\experiment.txt","experiment.txt")</f>
        <v/>
      </c>
    </row>
    <row r="107">
      <c r="H107" t="inlineStr">
        <is>
          <t>c:/users/omer/rl-qecc-data/2026-07-23_17-04-44_790643</t>
        </is>
      </c>
      <c r="I107" t="n">
        <v>3003</v>
      </c>
      <c r="J107" t="inlineStr">
        <is>
          <t>6,6</t>
        </is>
      </c>
      <c r="K107" t="n">
        <v>12</v>
      </c>
      <c r="M107" t="inlineStr">
        <is>
          <t>hybrid</t>
        </is>
      </c>
      <c r="N107" t="inlineStr">
        <is>
          <t>Yes</t>
        </is>
      </c>
      <c r="O107" t="n">
        <v>0.1</v>
      </c>
      <c r="P107" t="n">
        <v>500</v>
      </c>
      <c r="Q107" t="inlineStr">
        <is>
          <t>2026-07-12_21-15-58/surrogate_6x6.pth</t>
        </is>
      </c>
      <c r="R107" t="n">
        <v>0.003</v>
      </c>
      <c r="S107" t="inlineStr">
        <is>
          <t>Done</t>
        </is>
      </c>
      <c r="V107">
        <f>HYPERLINK("c:\users\omer\rl-qecc-data\2026-07-23_17-04-44_790643\postProcessing.png","plot")</f>
        <v/>
      </c>
      <c r="W107">
        <f>HYPERLINK("c:\users\omer\rl-qecc-data\2026-07-23_17-04-44_790643\experiment.txt","experiment.txt")</f>
        <v/>
      </c>
    </row>
    <row r="108">
      <c r="H108" t="inlineStr">
        <is>
          <t>c:/users/omer/rl-qecc-data/2026-07-23_17-06-26_355068</t>
        </is>
      </c>
      <c r="I108" t="n">
        <v>4004</v>
      </c>
      <c r="J108" t="inlineStr">
        <is>
          <t>6,6</t>
        </is>
      </c>
      <c r="K108" t="n">
        <v>12</v>
      </c>
      <c r="M108" t="inlineStr">
        <is>
          <t>hybrid</t>
        </is>
      </c>
      <c r="N108" t="inlineStr">
        <is>
          <t>Yes</t>
        </is>
      </c>
      <c r="O108" t="n">
        <v>0.1</v>
      </c>
      <c r="P108" t="n">
        <v>500</v>
      </c>
      <c r="Q108" t="inlineStr">
        <is>
          <t>2026-07-12_21-15-58/surrogate_6x6.pth</t>
        </is>
      </c>
      <c r="R108" t="n">
        <v>0.003</v>
      </c>
      <c r="S108" t="inlineStr">
        <is>
          <t>Done</t>
        </is>
      </c>
      <c r="V108">
        <f>HYPERLINK("c:\users\omer\rl-qecc-data\2026-07-23_17-06-26_355068\postProcessing.png","plot")</f>
        <v/>
      </c>
      <c r="W108">
        <f>HYPERLINK("c:\users\omer\rl-qecc-data\2026-07-23_17-06-26_355068\experiment.txt","experiment.txt")</f>
        <v/>
      </c>
    </row>
    <row r="109">
      <c r="H109" t="inlineStr">
        <is>
          <t>c:/users/omer/rl-qecc-data/2026-07-23_17-26-23_3831930</t>
        </is>
      </c>
      <c r="I109" t="n">
        <v>5005</v>
      </c>
      <c r="J109" t="inlineStr">
        <is>
          <t>6,6</t>
        </is>
      </c>
      <c r="K109" t="n">
        <v>12</v>
      </c>
      <c r="M109" t="inlineStr">
        <is>
          <t>hybrid</t>
        </is>
      </c>
      <c r="N109" t="inlineStr">
        <is>
          <t>Yes</t>
        </is>
      </c>
      <c r="O109" t="n">
        <v>0.1</v>
      </c>
      <c r="P109" t="n">
        <v>500</v>
      </c>
      <c r="Q109" t="inlineStr">
        <is>
          <t>2026-07-12_21-15-58/surrogate_6x6.pth</t>
        </is>
      </c>
      <c r="R109" t="n">
        <v>0.003</v>
      </c>
      <c r="S109" t="inlineStr">
        <is>
          <t>Done</t>
        </is>
      </c>
      <c r="V109">
        <f>HYPERLINK("c:\users\omer\rl-qecc-data\2026-07-23_17-26-23_3831930\postProcessing.png","plot")</f>
        <v/>
      </c>
      <c r="W109">
        <f>HYPERLINK("c:\users\omer\rl-qecc-data\2026-07-23_17-26-23_3831930\experiment.txt","experiment.txt")</f>
        <v/>
      </c>
    </row>
    <row r="110">
      <c r="H110" t="inlineStr">
        <is>
          <t>c:/users/omer/rl-qecc-data/2026-07-23_17-30-12_792942</t>
        </is>
      </c>
      <c r="I110" t="n">
        <v>6006</v>
      </c>
      <c r="J110" t="inlineStr">
        <is>
          <t>6,6</t>
        </is>
      </c>
      <c r="K110" t="n">
        <v>12</v>
      </c>
      <c r="M110" t="inlineStr">
        <is>
          <t>hybrid</t>
        </is>
      </c>
      <c r="N110" t="inlineStr">
        <is>
          <t>Yes</t>
        </is>
      </c>
      <c r="O110" t="n">
        <v>0.1</v>
      </c>
      <c r="P110" t="n">
        <v>500</v>
      </c>
      <c r="Q110" t="inlineStr">
        <is>
          <t>2026-07-12_21-15-58/surrogate_6x6.pth</t>
        </is>
      </c>
      <c r="R110" t="n">
        <v>0.003</v>
      </c>
      <c r="S110" t="inlineStr">
        <is>
          <t>Done</t>
        </is>
      </c>
      <c r="V110">
        <f>HYPERLINK("c:\users\omer\rl-qecc-data\2026-07-23_17-30-12_792942\postProcessing.png","plot")</f>
        <v/>
      </c>
      <c r="W110">
        <f>HYPERLINK("c:\users\omer\rl-qecc-data\2026-07-23_17-30-12_792942\experiment.txt","experiment.txt")</f>
        <v/>
      </c>
    </row>
    <row r="111">
      <c r="H111" t="inlineStr">
        <is>
          <t>c:/users/omer/rl-qecc-data/2026-07-23_17-38-01_3833038</t>
        </is>
      </c>
      <c r="I111" t="n">
        <v>1001</v>
      </c>
      <c r="J111" t="inlineStr">
        <is>
          <t>6,6</t>
        </is>
      </c>
      <c r="K111" t="n">
        <v>12</v>
      </c>
      <c r="M111" t="inlineStr">
        <is>
          <t>hybrid</t>
        </is>
      </c>
      <c r="N111" t="inlineStr">
        <is>
          <t>Yes</t>
        </is>
      </c>
      <c r="O111" t="n">
        <v>0.1</v>
      </c>
      <c r="P111" t="n">
        <v>0</v>
      </c>
      <c r="Q111" t="inlineStr">
        <is>
          <t>2026-07-12_21-15-58/surrogate_6x6.pth</t>
        </is>
      </c>
      <c r="R111" t="n">
        <v>0.003</v>
      </c>
      <c r="S111" t="inlineStr">
        <is>
          <t>Done</t>
        </is>
      </c>
      <c r="V111">
        <f>HYPERLINK("c:\users\omer\rl-qecc-data\2026-07-23_17-38-01_3833038\postProcessing.png","plot")</f>
        <v/>
      </c>
      <c r="W111">
        <f>HYPERLINK("c:\users\omer\rl-qecc-data\2026-07-23_17-38-01_3833038\experiment.txt","experiment.txt")</f>
        <v/>
      </c>
    </row>
    <row r="112">
      <c r="H112" t="inlineStr">
        <is>
          <t>c:/users/omer/rl-qecc-data/2026-07-23_18-06-16_3835747</t>
        </is>
      </c>
      <c r="I112" t="n">
        <v>2002</v>
      </c>
      <c r="J112" t="inlineStr">
        <is>
          <t>6,6</t>
        </is>
      </c>
      <c r="K112" t="n">
        <v>12</v>
      </c>
      <c r="M112" t="inlineStr">
        <is>
          <t>hybrid</t>
        </is>
      </c>
      <c r="N112" t="inlineStr">
        <is>
          <t>Yes</t>
        </is>
      </c>
      <c r="O112" t="n">
        <v>0.1</v>
      </c>
      <c r="P112" t="n">
        <v>0</v>
      </c>
      <c r="Q112" t="inlineStr">
        <is>
          <t>2026-07-12_21-15-58/surrogate_6x6.pth</t>
        </is>
      </c>
      <c r="R112" t="n">
        <v>0.003</v>
      </c>
      <c r="S112" t="inlineStr">
        <is>
          <t>Done</t>
        </is>
      </c>
      <c r="V112">
        <f>HYPERLINK("c:\users\omer\rl-qecc-data\2026-07-23_18-06-16_3835747\postProcessing.png","plot")</f>
        <v/>
      </c>
      <c r="W112">
        <f>HYPERLINK("c:\users\omer\rl-qecc-data\2026-07-23_18-06-16_3835747\experiment.txt","experiment.txt")</f>
        <v/>
      </c>
    </row>
    <row r="113">
      <c r="H113" t="inlineStr">
        <is>
          <t>c:/users/omer/rl-qecc-data/2026-07-23_22-38-48_814037</t>
        </is>
      </c>
      <c r="I113" t="n">
        <v>3003</v>
      </c>
      <c r="J113" t="inlineStr">
        <is>
          <t>6,6</t>
        </is>
      </c>
      <c r="K113" t="n">
        <v>12</v>
      </c>
      <c r="M113" t="inlineStr">
        <is>
          <t>hybrid</t>
        </is>
      </c>
      <c r="N113" t="inlineStr">
        <is>
          <t>Yes</t>
        </is>
      </c>
      <c r="O113" t="n">
        <v>0.1</v>
      </c>
      <c r="P113" t="n">
        <v>0</v>
      </c>
      <c r="Q113" t="inlineStr">
        <is>
          <t>2026-07-12_21-15-58/surrogate_6x6.pth</t>
        </is>
      </c>
      <c r="R113" t="n">
        <v>0.003</v>
      </c>
      <c r="S113" t="inlineStr">
        <is>
          <t>Done</t>
        </is>
      </c>
      <c r="V113">
        <f>HYPERLINK("c:\users\omer\rl-qecc-data\2026-07-23_22-38-48_814037\postProcessing.png","plot")</f>
        <v/>
      </c>
      <c r="W113">
        <f>HYPERLINK("c:\users\omer\rl-qecc-data\2026-07-23_22-38-48_814037\experiment.txt","experiment.txt")</f>
        <v/>
      </c>
    </row>
    <row r="114">
      <c r="H114" t="inlineStr">
        <is>
          <t>c:/users/omer/rl-qecc-data/2026-07-24_01-19-19_159224</t>
        </is>
      </c>
      <c r="I114" t="n">
        <v>777001</v>
      </c>
      <c r="J114" t="inlineStr">
        <is>
          <t>21,18</t>
        </is>
      </c>
      <c r="K114" t="n">
        <v>8</v>
      </c>
      <c r="M114" t="inlineStr">
        <is>
          <t>hybrid</t>
        </is>
      </c>
      <c r="N114" t="inlineStr">
        <is>
          <t>Yes</t>
        </is>
      </c>
      <c r="O114" t="n">
        <v>0.1</v>
      </c>
      <c r="P114" t="n">
        <v>10</v>
      </c>
      <c r="Q114" t="inlineStr">
        <is>
          <t>grounding/mixed66-96_seed1.pth</t>
        </is>
      </c>
      <c r="R114" t="n">
        <v>0.003</v>
      </c>
      <c r="S114" t="inlineStr">
        <is>
          <t>Done</t>
        </is>
      </c>
      <c r="V114">
        <f>HYPERLINK("c:\users\omer\rl-qecc-data\2026-07-24_01-19-19_159224\postProcessing.png","plot")</f>
        <v/>
      </c>
      <c r="W114">
        <f>HYPERLINK("c:\users\omer\rl-qecc-data\2026-07-24_01-19-19_159224\experiment.txt","experiment.txt")</f>
        <v/>
      </c>
    </row>
    <row r="115">
      <c r="H115" t="inlineStr">
        <is>
          <t>c:/users/omer/rl-qecc-data/2026-07-24_01-45-23_388972</t>
        </is>
      </c>
      <c r="I115" t="n">
        <v>4004</v>
      </c>
      <c r="J115" t="inlineStr">
        <is>
          <t>6,6</t>
        </is>
      </c>
      <c r="K115" t="n">
        <v>12</v>
      </c>
      <c r="M115" t="inlineStr">
        <is>
          <t>hybrid</t>
        </is>
      </c>
      <c r="N115" t="inlineStr">
        <is>
          <t>Yes</t>
        </is>
      </c>
      <c r="O115" t="n">
        <v>0.1</v>
      </c>
      <c r="P115" t="n">
        <v>0</v>
      </c>
      <c r="Q115" t="inlineStr">
        <is>
          <t>2026-07-12_21-15-58/surrogate_6x6.pth</t>
        </is>
      </c>
      <c r="R115" t="n">
        <v>0.003</v>
      </c>
      <c r="S115" t="inlineStr">
        <is>
          <t>Done</t>
        </is>
      </c>
      <c r="V115">
        <f>HYPERLINK("c:\users\omer\rl-qecc-data\2026-07-24_01-45-23_388972\postProcessing.png","plot")</f>
        <v/>
      </c>
      <c r="W115">
        <f>HYPERLINK("c:\users\omer\rl-qecc-data\2026-07-24_01-45-23_388972\experiment.txt","experiment.txt")</f>
        <v/>
      </c>
    </row>
    <row r="116">
      <c r="H116" t="inlineStr">
        <is>
          <t>c:/users/omer/rl-qecc-data/2026-07-24_01-45-23_389109</t>
        </is>
      </c>
      <c r="I116" t="n">
        <v>5005</v>
      </c>
      <c r="J116" t="inlineStr">
        <is>
          <t>6,6</t>
        </is>
      </c>
      <c r="K116" t="n">
        <v>12</v>
      </c>
      <c r="M116" t="inlineStr">
        <is>
          <t>hybrid</t>
        </is>
      </c>
      <c r="N116" t="inlineStr">
        <is>
          <t>Yes</t>
        </is>
      </c>
      <c r="O116" t="n">
        <v>0.1</v>
      </c>
      <c r="P116" t="n">
        <v>0</v>
      </c>
      <c r="Q116" t="inlineStr">
        <is>
          <t>2026-07-12_21-15-58/surrogate_6x6.pth</t>
        </is>
      </c>
      <c r="R116" t="n">
        <v>0.003</v>
      </c>
      <c r="S116" t="inlineStr">
        <is>
          <t>Done</t>
        </is>
      </c>
      <c r="V116">
        <f>HYPERLINK("c:\users\omer\rl-qecc-data\2026-07-24_01-45-23_389109\postProcessing.png","plot")</f>
        <v/>
      </c>
      <c r="W116">
        <f>HYPERLINK("c:\users\omer\rl-qecc-data\2026-07-24_01-45-23_389109\experiment.txt","experiment.txt")</f>
        <v/>
      </c>
    </row>
    <row r="117">
      <c r="H117" t="inlineStr">
        <is>
          <t>c:/users/omer/rl-qecc-data/2026-07-24_01-45-35_826931</t>
        </is>
      </c>
      <c r="I117" t="n">
        <v>6006</v>
      </c>
      <c r="J117" t="inlineStr">
        <is>
          <t>6,6</t>
        </is>
      </c>
      <c r="K117" t="n">
        <v>12</v>
      </c>
      <c r="M117" t="inlineStr">
        <is>
          <t>hybrid</t>
        </is>
      </c>
      <c r="N117" t="inlineStr">
        <is>
          <t>Yes</t>
        </is>
      </c>
      <c r="O117" t="n">
        <v>0.1</v>
      </c>
      <c r="P117" t="n">
        <v>0</v>
      </c>
      <c r="Q117" t="inlineStr">
        <is>
          <t>2026-07-12_21-15-58/surrogate_6x6.pth</t>
        </is>
      </c>
      <c r="R117" t="n">
        <v>0.003</v>
      </c>
      <c r="S117" t="inlineStr">
        <is>
          <t>Done</t>
        </is>
      </c>
      <c r="V117">
        <f>HYPERLINK("c:\users\omer\rl-qecc-data\2026-07-24_01-45-35_826931\postProcessing.png","plot")</f>
        <v/>
      </c>
      <c r="W117">
        <f>HYPERLINK("c:\users\omer\rl-qecc-data\2026-07-24_01-45-35_826931\experiment.txt","experiment.txt")</f>
        <v/>
      </c>
    </row>
    <row r="118">
      <c r="H118" t="inlineStr">
        <is>
          <t>c:/users/omer/rl-qecc-data/2026-07-24_01-45-35_827526</t>
        </is>
      </c>
      <c r="I118" t="n">
        <v>2002</v>
      </c>
      <c r="J118" t="inlineStr">
        <is>
          <t>6,6</t>
        </is>
      </c>
      <c r="K118" t="n">
        <v>12</v>
      </c>
      <c r="M118" t="inlineStr">
        <is>
          <t>hybrid</t>
        </is>
      </c>
      <c r="N118" t="inlineStr">
        <is>
          <t>Yes</t>
        </is>
      </c>
      <c r="O118" t="n">
        <v>0.1</v>
      </c>
      <c r="P118" t="n">
        <v>10</v>
      </c>
      <c r="Q118" t="inlineStr">
        <is>
          <t>2026-07-12_21-15-58/surrogate_6x6.pth</t>
        </is>
      </c>
      <c r="R118" t="n">
        <v>0.003</v>
      </c>
      <c r="S118" t="inlineStr">
        <is>
          <t>Done</t>
        </is>
      </c>
      <c r="V118">
        <f>HYPERLINK("c:\users\omer\rl-qecc-data\2026-07-24_01-45-35_827526\postProcessing.png","plot")</f>
        <v/>
      </c>
      <c r="W118">
        <f>HYPERLINK("c:\users\omer\rl-qecc-data\2026-07-24_01-45-35_827526\experiment.txt","experiment.txt")</f>
        <v/>
      </c>
    </row>
    <row r="119">
      <c r="H119" t="inlineStr">
        <is>
          <t>c:/users/omer/rl-qecc-data/2026-07-24_01-46-10_390244</t>
        </is>
      </c>
      <c r="I119" t="n">
        <v>1001</v>
      </c>
      <c r="J119" t="inlineStr">
        <is>
          <t>6,6</t>
        </is>
      </c>
      <c r="K119" t="n">
        <v>12</v>
      </c>
      <c r="M119" t="inlineStr">
        <is>
          <t>hybrid</t>
        </is>
      </c>
      <c r="N119" t="inlineStr">
        <is>
          <t>Yes</t>
        </is>
      </c>
      <c r="O119" t="n">
        <v>0.1</v>
      </c>
      <c r="P119" t="n">
        <v>10</v>
      </c>
      <c r="Q119" t="inlineStr">
        <is>
          <t>2026-07-12_21-15-58/surrogate_6x6.pth</t>
        </is>
      </c>
      <c r="R119" t="n">
        <v>0.003</v>
      </c>
      <c r="S119" t="inlineStr">
        <is>
          <t>Done</t>
        </is>
      </c>
      <c r="V119">
        <f>HYPERLINK("c:\users\omer\rl-qecc-data\2026-07-24_01-46-10_390244\postProcessing.png","plot")</f>
        <v/>
      </c>
      <c r="W119">
        <f>HYPERLINK("c:\users\omer\rl-qecc-data\2026-07-24_01-46-10_390244\experiment.txt","experiment.txt")</f>
        <v/>
      </c>
    </row>
    <row r="120">
      <c r="H120" t="inlineStr">
        <is>
          <t>c:/users/omer/rl-qecc-data/2026-07-24_01-47-04_828303</t>
        </is>
      </c>
      <c r="I120" t="n">
        <v>3003</v>
      </c>
      <c r="J120" t="inlineStr">
        <is>
          <t>6,6</t>
        </is>
      </c>
      <c r="K120" t="n">
        <v>12</v>
      </c>
      <c r="M120" t="inlineStr">
        <is>
          <t>hybrid</t>
        </is>
      </c>
      <c r="N120" t="inlineStr">
        <is>
          <t>Yes</t>
        </is>
      </c>
      <c r="O120" t="n">
        <v>0.1</v>
      </c>
      <c r="P120" t="n">
        <v>10</v>
      </c>
      <c r="Q120" t="inlineStr">
        <is>
          <t>2026-07-12_21-15-58/surrogate_6x6.pth</t>
        </is>
      </c>
      <c r="R120" t="n">
        <v>0.003</v>
      </c>
      <c r="S120" t="inlineStr">
        <is>
          <t>Done</t>
        </is>
      </c>
      <c r="V120">
        <f>HYPERLINK("c:\users\omer\rl-qecc-data\2026-07-24_01-47-04_828303\postProcessing.png","plot")</f>
        <v/>
      </c>
      <c r="W120">
        <f>HYPERLINK("c:\users\omer\rl-qecc-data\2026-07-24_01-47-04_828303\experiment.txt","experiment.txt")</f>
        <v/>
      </c>
    </row>
    <row r="121">
      <c r="H121" t="inlineStr">
        <is>
          <t>c:/users/omer/rl-qecc-data/2026-07-24_01-50-25_3700228</t>
        </is>
      </c>
      <c r="I121" t="n">
        <v>4004</v>
      </c>
      <c r="J121" t="inlineStr">
        <is>
          <t>6,6</t>
        </is>
      </c>
      <c r="K121" t="n">
        <v>12</v>
      </c>
      <c r="M121" t="inlineStr">
        <is>
          <t>hybrid</t>
        </is>
      </c>
      <c r="N121" t="inlineStr">
        <is>
          <t>Yes</t>
        </is>
      </c>
      <c r="O121" t="n">
        <v>0.1</v>
      </c>
      <c r="P121" t="n">
        <v>10</v>
      </c>
      <c r="Q121" t="inlineStr">
        <is>
          <t>2026-07-12_21-15-58/surrogate_6x6.pth</t>
        </is>
      </c>
      <c r="R121" t="n">
        <v>0.003</v>
      </c>
      <c r="S121" t="inlineStr">
        <is>
          <t>Done</t>
        </is>
      </c>
      <c r="V121">
        <f>HYPERLINK("c:\users\omer\rl-qecc-data\2026-07-24_01-50-25_3700228\postProcessing.png","plot")</f>
        <v/>
      </c>
      <c r="W121">
        <f>HYPERLINK("c:\users\omer\rl-qecc-data\2026-07-24_01-50-25_3700228\experiment.txt","experiment.txt")</f>
        <v/>
      </c>
    </row>
    <row r="122">
      <c r="H122" t="inlineStr">
        <is>
          <t>c:/users/omer/rl-qecc-data/2026-07-24_01-50-25_3700306</t>
        </is>
      </c>
      <c r="I122" t="n">
        <v>5005</v>
      </c>
      <c r="J122" t="inlineStr">
        <is>
          <t>6,6</t>
        </is>
      </c>
      <c r="K122" t="n">
        <v>12</v>
      </c>
      <c r="M122" t="inlineStr">
        <is>
          <t>hybrid</t>
        </is>
      </c>
      <c r="N122" t="inlineStr">
        <is>
          <t>Yes</t>
        </is>
      </c>
      <c r="O122" t="n">
        <v>0.1</v>
      </c>
      <c r="P122" t="n">
        <v>10</v>
      </c>
      <c r="Q122" t="inlineStr">
        <is>
          <t>2026-07-12_21-15-58/surrogate_6x6.pth</t>
        </is>
      </c>
      <c r="R122" t="n">
        <v>0.003</v>
      </c>
      <c r="S122" t="inlineStr">
        <is>
          <t>Done</t>
        </is>
      </c>
      <c r="V122">
        <f>HYPERLINK("c:\users\omer\rl-qecc-data\2026-07-24_01-50-25_3700306\postProcessing.png","plot")</f>
        <v/>
      </c>
      <c r="W122">
        <f>HYPERLINK("c:\users\omer\rl-qecc-data\2026-07-24_01-50-25_3700306\experiment.txt","experiment.txt")</f>
        <v/>
      </c>
    </row>
    <row r="123">
      <c r="H123" t="inlineStr">
        <is>
          <t>c:/users/omer/rl-qecc-data/2026-07-24_08-06-30_415513</t>
        </is>
      </c>
      <c r="I123" t="n">
        <v>6006</v>
      </c>
      <c r="J123" t="inlineStr">
        <is>
          <t>6,6</t>
        </is>
      </c>
      <c r="K123" t="n">
        <v>12</v>
      </c>
      <c r="M123" t="inlineStr">
        <is>
          <t>hybrid</t>
        </is>
      </c>
      <c r="N123" t="inlineStr">
        <is>
          <t>Yes</t>
        </is>
      </c>
      <c r="O123" t="n">
        <v>0.1</v>
      </c>
      <c r="P123" t="n">
        <v>10</v>
      </c>
      <c r="Q123" t="inlineStr">
        <is>
          <t>2026-07-12_21-15-58/surrogate_6x6.pth</t>
        </is>
      </c>
      <c r="R123" t="n">
        <v>0.003</v>
      </c>
      <c r="S123" t="inlineStr">
        <is>
          <t>Done</t>
        </is>
      </c>
      <c r="V123">
        <f>HYPERLINK("c:\users\omer\rl-qecc-data\2026-07-24_08-06-30_415513\postProcessing.png","plot")</f>
        <v/>
      </c>
      <c r="W123">
        <f>HYPERLINK("c:\users\omer\rl-qecc-data\2026-07-24_08-06-30_415513\experiment.txt","experiment.txt")</f>
        <v/>
      </c>
    </row>
    <row r="124">
      <c r="H124" t="inlineStr">
        <is>
          <t>c:/users/omer/rl-qecc-data/2026-07-24_08-12-37_854157</t>
        </is>
      </c>
      <c r="I124" t="n">
        <v>2002</v>
      </c>
      <c r="J124" t="inlineStr">
        <is>
          <t>6,6</t>
        </is>
      </c>
      <c r="K124" t="n">
        <v>12</v>
      </c>
      <c r="M124" t="inlineStr">
        <is>
          <t>hybrid</t>
        </is>
      </c>
      <c r="N124" t="inlineStr">
        <is>
          <t>Yes</t>
        </is>
      </c>
      <c r="O124" t="n">
        <v>0.1</v>
      </c>
      <c r="P124" t="n">
        <v>50</v>
      </c>
      <c r="Q124" t="inlineStr">
        <is>
          <t>2026-07-12_21-15-58/surrogate_6x6.pth</t>
        </is>
      </c>
      <c r="R124" t="n">
        <v>0.003</v>
      </c>
      <c r="S124" t="inlineStr">
        <is>
          <t>Done</t>
        </is>
      </c>
      <c r="V124">
        <f>HYPERLINK("c:\users\omer\rl-qecc-data\2026-07-24_08-12-37_854157\postProcessing.png","plot")</f>
        <v/>
      </c>
      <c r="W124">
        <f>HYPERLINK("c:\users\omer\rl-qecc-data\2026-07-24_08-12-37_854157\experiment.txt","experiment.txt")</f>
        <v/>
      </c>
    </row>
    <row r="125">
      <c r="H125" t="inlineStr">
        <is>
          <t>c:/users/omer/rl-qecc-data/2026-07-24_08-17-36_3882751</t>
        </is>
      </c>
      <c r="I125" t="n">
        <v>1001</v>
      </c>
      <c r="J125" t="inlineStr">
        <is>
          <t>6,6</t>
        </is>
      </c>
      <c r="K125" t="n">
        <v>12</v>
      </c>
      <c r="M125" t="inlineStr">
        <is>
          <t>hybrid</t>
        </is>
      </c>
      <c r="N125" t="inlineStr">
        <is>
          <t>Yes</t>
        </is>
      </c>
      <c r="O125" t="n">
        <v>0.1</v>
      </c>
      <c r="P125" t="n">
        <v>50</v>
      </c>
      <c r="Q125" t="inlineStr">
        <is>
          <t>2026-07-12_21-15-58/surrogate_6x6.pth</t>
        </is>
      </c>
      <c r="R125" t="n">
        <v>0.003</v>
      </c>
      <c r="S125" t="inlineStr">
        <is>
          <t>Done</t>
        </is>
      </c>
      <c r="V125">
        <f>HYPERLINK("c:\users\omer\rl-qecc-data\2026-07-24_08-17-36_3882751\postProcessing.png","plot")</f>
        <v/>
      </c>
      <c r="W125">
        <f>HYPERLINK("c:\users\omer\rl-qecc-data\2026-07-24_08-17-36_3882751\experiment.txt","experiment.txt")</f>
        <v/>
      </c>
    </row>
    <row r="126">
      <c r="H126" t="inlineStr">
        <is>
          <t>c:/users/omer/rl-qecc-data/2026-07-24_08-18-49_855414</t>
        </is>
      </c>
      <c r="I126" t="n">
        <v>3003</v>
      </c>
      <c r="J126" t="inlineStr">
        <is>
          <t>6,6</t>
        </is>
      </c>
      <c r="K126" t="n">
        <v>12</v>
      </c>
      <c r="M126" t="inlineStr">
        <is>
          <t>hybrid</t>
        </is>
      </c>
      <c r="N126" t="inlineStr">
        <is>
          <t>Yes</t>
        </is>
      </c>
      <c r="O126" t="n">
        <v>0.1</v>
      </c>
      <c r="P126" t="n">
        <v>50</v>
      </c>
      <c r="Q126" t="inlineStr">
        <is>
          <t>2026-07-12_21-15-58/surrogate_6x6.pth</t>
        </is>
      </c>
      <c r="R126" t="n">
        <v>0.003</v>
      </c>
      <c r="S126" t="inlineStr">
        <is>
          <t>Done</t>
        </is>
      </c>
      <c r="V126">
        <f>HYPERLINK("c:\users\omer\rl-qecc-data\2026-07-24_08-18-49_855414\postProcessing.png","plot")</f>
        <v/>
      </c>
      <c r="W126">
        <f>HYPERLINK("c:\users\omer\rl-qecc-data\2026-07-24_08-18-49_855414\experiment.txt","experiment.txt")</f>
        <v/>
      </c>
    </row>
    <row r="127">
      <c r="H127" t="inlineStr">
        <is>
          <t>c:/users/omer/rl-qecc-data/2026-07-24_08-32-31_418941</t>
        </is>
      </c>
      <c r="I127" t="n">
        <v>4004</v>
      </c>
      <c r="J127" t="inlineStr">
        <is>
          <t>6,6</t>
        </is>
      </c>
      <c r="K127" t="n">
        <v>12</v>
      </c>
      <c r="M127" t="inlineStr">
        <is>
          <t>hybrid</t>
        </is>
      </c>
      <c r="N127" t="inlineStr">
        <is>
          <t>Yes</t>
        </is>
      </c>
      <c r="O127" t="n">
        <v>0.1</v>
      </c>
      <c r="P127" t="n">
        <v>50</v>
      </c>
      <c r="Q127" t="inlineStr">
        <is>
          <t>2026-07-12_21-15-58/surrogate_6x6.pth</t>
        </is>
      </c>
      <c r="R127" t="n">
        <v>0.003</v>
      </c>
      <c r="S127" t="inlineStr">
        <is>
          <t>Done</t>
        </is>
      </c>
      <c r="V127">
        <f>HYPERLINK("c:\users\omer\rl-qecc-data\2026-07-24_08-32-31_418941\postProcessing.png","plot")</f>
        <v/>
      </c>
      <c r="W127">
        <f>HYPERLINK("c:\users\omer\rl-qecc-data\2026-07-24_08-32-31_418941\experiment.txt","experiment.txt")</f>
        <v/>
      </c>
    </row>
    <row r="128">
      <c r="H128" t="inlineStr">
        <is>
          <t>c:/users/omer/rl-qecc-data/2026-07-24_08-35-37_856813</t>
        </is>
      </c>
      <c r="I128" t="n">
        <v>5005</v>
      </c>
      <c r="J128" t="inlineStr">
        <is>
          <t>6,6</t>
        </is>
      </c>
      <c r="K128" t="n">
        <v>12</v>
      </c>
      <c r="M128" t="inlineStr">
        <is>
          <t>hybrid</t>
        </is>
      </c>
      <c r="N128" t="inlineStr">
        <is>
          <t>Yes</t>
        </is>
      </c>
      <c r="O128" t="n">
        <v>0.1</v>
      </c>
      <c r="P128" t="n">
        <v>50</v>
      </c>
      <c r="Q128" t="inlineStr">
        <is>
          <t>2026-07-12_21-15-58/surrogate_6x6.pth</t>
        </is>
      </c>
      <c r="R128" t="n">
        <v>0.003</v>
      </c>
      <c r="S128" t="inlineStr">
        <is>
          <t>Done</t>
        </is>
      </c>
      <c r="V128">
        <f>HYPERLINK("c:\users\omer\rl-qecc-data\2026-07-24_08-35-37_856813\postProcessing.png","plot")</f>
        <v/>
      </c>
      <c r="W128">
        <f>HYPERLINK("c:\users\omer\rl-qecc-data\2026-07-24_08-35-37_856813\experiment.txt","experiment.txt")</f>
        <v/>
      </c>
    </row>
    <row r="129">
      <c r="H129" t="inlineStr">
        <is>
          <t>c:/users/omer/rl-qecc-data/2026-07-24_08-41-36_3884575</t>
        </is>
      </c>
      <c r="I129" t="n">
        <v>6006</v>
      </c>
      <c r="J129" t="inlineStr">
        <is>
          <t>6,6</t>
        </is>
      </c>
      <c r="K129" t="n">
        <v>12</v>
      </c>
      <c r="M129" t="inlineStr">
        <is>
          <t>hybrid</t>
        </is>
      </c>
      <c r="N129" t="inlineStr">
        <is>
          <t>Yes</t>
        </is>
      </c>
      <c r="O129" t="n">
        <v>0.1</v>
      </c>
      <c r="P129" t="n">
        <v>50</v>
      </c>
      <c r="Q129" t="inlineStr">
        <is>
          <t>2026-07-12_21-15-58/surrogate_6x6.pth</t>
        </is>
      </c>
      <c r="R129" t="n">
        <v>0.003</v>
      </c>
      <c r="S129" t="inlineStr">
        <is>
          <t>Done</t>
        </is>
      </c>
      <c r="V129">
        <f>HYPERLINK("c:\users\omer\rl-qecc-data\2026-07-24_08-41-36_3884575\postProcessing.png","plot")</f>
        <v/>
      </c>
      <c r="W129">
        <f>HYPERLINK("c:\users\omer\rl-qecc-data\2026-07-24_08-41-36_3884575\experiment.txt","experiment.txt")</f>
        <v/>
      </c>
    </row>
    <row r="130">
      <c r="H130" t="inlineStr">
        <is>
          <t>c:/users/omer/rl-qecc-data/2026-07-24_08-47-54_420595</t>
        </is>
      </c>
      <c r="I130" t="n">
        <v>1001</v>
      </c>
      <c r="J130" t="inlineStr">
        <is>
          <t>6,6</t>
        </is>
      </c>
      <c r="K130" t="n">
        <v>12</v>
      </c>
      <c r="M130" t="inlineStr">
        <is>
          <t>hybrid</t>
        </is>
      </c>
      <c r="N130" t="inlineStr">
        <is>
          <t>Yes</t>
        </is>
      </c>
      <c r="O130" t="n">
        <v>0.1</v>
      </c>
      <c r="P130" t="n">
        <v>200</v>
      </c>
      <c r="Q130" t="inlineStr">
        <is>
          <t>2026-07-12_21-15-58/surrogate_6x6.pth</t>
        </is>
      </c>
      <c r="R130" t="n">
        <v>0.003</v>
      </c>
      <c r="S130" t="inlineStr">
        <is>
          <t>Done</t>
        </is>
      </c>
      <c r="V130">
        <f>HYPERLINK("c:\users\omer\rl-qecc-data\2026-07-24_08-47-54_420595\postProcessing.png","plot")</f>
        <v/>
      </c>
      <c r="W130">
        <f>HYPERLINK("c:\users\omer\rl-qecc-data\2026-07-24_08-47-54_420595\experiment.txt","experiment.txt")</f>
        <v/>
      </c>
    </row>
    <row r="131">
      <c r="H131" t="inlineStr">
        <is>
          <t>c:/users/omer/rl-qecc-data/2026-07-24_15-07-14_445735</t>
        </is>
      </c>
      <c r="I131" t="n">
        <v>2002</v>
      </c>
      <c r="J131" t="inlineStr">
        <is>
          <t>6,6</t>
        </is>
      </c>
      <c r="K131" t="n">
        <v>12</v>
      </c>
      <c r="M131" t="inlineStr">
        <is>
          <t>hybrid</t>
        </is>
      </c>
      <c r="N131" t="inlineStr">
        <is>
          <t>Yes</t>
        </is>
      </c>
      <c r="O131" t="n">
        <v>0.1</v>
      </c>
      <c r="P131" t="n">
        <v>200</v>
      </c>
      <c r="Q131" t="inlineStr">
        <is>
          <t>2026-07-12_21-15-58/surrogate_6x6.pth</t>
        </is>
      </c>
      <c r="R131" t="n">
        <v>0.003</v>
      </c>
      <c r="S131" t="inlineStr">
        <is>
          <t>Done</t>
        </is>
      </c>
      <c r="V131">
        <f>HYPERLINK("c:\users\omer\rl-qecc-data\2026-07-24_15-07-14_445735\postProcessing.png","plot")</f>
        <v/>
      </c>
      <c r="W131">
        <f>HYPERLINK("c:\users\omer\rl-qecc-data\2026-07-24_15-07-14_445735\experiment.txt","experiment.txt")</f>
        <v/>
      </c>
    </row>
    <row r="132">
      <c r="H132" t="inlineStr">
        <is>
          <t>c:/users/omer/rl-qecc-data/2026-07-24_15-25-33_3911366</t>
        </is>
      </c>
      <c r="I132" t="n">
        <v>3003</v>
      </c>
      <c r="J132" t="inlineStr">
        <is>
          <t>6,6</t>
        </is>
      </c>
      <c r="K132" t="n">
        <v>12</v>
      </c>
      <c r="M132" t="inlineStr">
        <is>
          <t>hybrid</t>
        </is>
      </c>
      <c r="N132" t="inlineStr">
        <is>
          <t>Yes</t>
        </is>
      </c>
      <c r="O132" t="n">
        <v>0.1</v>
      </c>
      <c r="P132" t="n">
        <v>200</v>
      </c>
      <c r="Q132" t="inlineStr">
        <is>
          <t>2026-07-12_21-15-58/surrogate_6x6.pth</t>
        </is>
      </c>
      <c r="R132" t="n">
        <v>0.003</v>
      </c>
      <c r="S132" t="inlineStr">
        <is>
          <t>Done</t>
        </is>
      </c>
      <c r="V132">
        <f>HYPERLINK("c:\users\omer\rl-qecc-data\2026-07-24_15-25-33_3911366\postProcessing.png","plot")</f>
        <v/>
      </c>
      <c r="W132">
        <f>HYPERLINK("c:\users\omer\rl-qecc-data\2026-07-24_15-25-33_3911366\experiment.txt","experiment.txt")</f>
        <v/>
      </c>
    </row>
    <row r="133">
      <c r="H133" t="inlineStr">
        <is>
          <t>c:/users/omer/rl-qecc-data/2026-07-24_15-26-23_3912066</t>
        </is>
      </c>
      <c r="I133" t="n">
        <v>4004</v>
      </c>
      <c r="J133" t="inlineStr">
        <is>
          <t>6,6</t>
        </is>
      </c>
      <c r="K133" t="n">
        <v>12</v>
      </c>
      <c r="M133" t="inlineStr">
        <is>
          <t>hybrid</t>
        </is>
      </c>
      <c r="N133" t="inlineStr">
        <is>
          <t>Yes</t>
        </is>
      </c>
      <c r="O133" t="n">
        <v>0.1</v>
      </c>
      <c r="P133" t="n">
        <v>200</v>
      </c>
      <c r="Q133" t="inlineStr">
        <is>
          <t>2026-07-12_21-15-58/surrogate_6x6.pth</t>
        </is>
      </c>
      <c r="R133" t="n">
        <v>0.003</v>
      </c>
      <c r="S133" t="inlineStr">
        <is>
          <t>Done</t>
        </is>
      </c>
      <c r="V133">
        <f>HYPERLINK("c:\users\omer\rl-qecc-data\2026-07-24_15-26-23_3912066\postProcessing.png","plot")</f>
        <v/>
      </c>
      <c r="W133">
        <f>HYPERLINK("c:\users\omer\rl-qecc-data\2026-07-24_15-26-23_3912066\experiment.txt","experiment.txt")</f>
        <v/>
      </c>
    </row>
    <row r="134">
      <c r="H134" t="inlineStr">
        <is>
          <t>c:/users/omer/rl-qecc-data/2026-07-24_15-28-53_885563</t>
        </is>
      </c>
      <c r="I134" t="n">
        <v>6006</v>
      </c>
      <c r="J134" t="inlineStr">
        <is>
          <t>6,6</t>
        </is>
      </c>
      <c r="K134" t="n">
        <v>12</v>
      </c>
      <c r="M134" t="inlineStr">
        <is>
          <t>hybrid</t>
        </is>
      </c>
      <c r="N134" t="inlineStr">
        <is>
          <t>Yes</t>
        </is>
      </c>
      <c r="O134" t="n">
        <v>0.1</v>
      </c>
      <c r="P134" t="n">
        <v>200</v>
      </c>
      <c r="Q134" t="inlineStr">
        <is>
          <t>2026-07-12_21-15-58/surrogate_6x6.pth</t>
        </is>
      </c>
      <c r="R134" t="n">
        <v>0.003</v>
      </c>
      <c r="S134" t="inlineStr">
        <is>
          <t>Done</t>
        </is>
      </c>
      <c r="V134">
        <f>HYPERLINK("c:\users\omer\rl-qecc-data\2026-07-24_15-28-53_885563\postProcessing.png","plot")</f>
        <v/>
      </c>
      <c r="W134">
        <f>HYPERLINK("c:\users\omer\rl-qecc-data\2026-07-24_15-28-53_885563\experiment.txt","experiment.txt")</f>
        <v/>
      </c>
    </row>
    <row r="135">
      <c r="H135" t="inlineStr">
        <is>
          <t>c:/users/omer/rl-qecc-data/2026-07-24_15-30-55_886418</t>
        </is>
      </c>
      <c r="I135" t="n">
        <v>1001</v>
      </c>
      <c r="J135" t="inlineStr">
        <is>
          <t>6,6</t>
        </is>
      </c>
      <c r="K135" t="n">
        <v>12</v>
      </c>
      <c r="M135" t="inlineStr">
        <is>
          <t>hybrid</t>
        </is>
      </c>
      <c r="N135" t="inlineStr">
        <is>
          <t>Yes</t>
        </is>
      </c>
      <c r="O135" t="n">
        <v>0.1</v>
      </c>
      <c r="P135" t="n">
        <v>500</v>
      </c>
      <c r="Q135" t="inlineStr">
        <is>
          <t>2026-07-12_21-15-58/surrogate_6x6.pth</t>
        </is>
      </c>
      <c r="R135" t="n">
        <v>0.003</v>
      </c>
      <c r="S135" t="inlineStr">
        <is>
          <t>Done</t>
        </is>
      </c>
      <c r="V135">
        <f>HYPERLINK("c:\users\omer\rl-qecc-data\2026-07-24_15-30-55_886418\postProcessing.png","plot")</f>
        <v/>
      </c>
      <c r="W135">
        <f>HYPERLINK("c:\users\omer\rl-qecc-data\2026-07-24_15-30-55_886418\experiment.txt","experiment.txt")</f>
        <v/>
      </c>
    </row>
    <row r="136">
      <c r="H136" t="inlineStr">
        <is>
          <t>c:/users/omer/rl-qecc-data/2026-07-24_15-41-11_448860</t>
        </is>
      </c>
      <c r="I136" t="n">
        <v>2002</v>
      </c>
      <c r="J136" t="inlineStr">
        <is>
          <t>6,6</t>
        </is>
      </c>
      <c r="K136" t="n">
        <v>12</v>
      </c>
      <c r="M136" t="inlineStr">
        <is>
          <t>hybrid</t>
        </is>
      </c>
      <c r="N136" t="inlineStr">
        <is>
          <t>Yes</t>
        </is>
      </c>
      <c r="O136" t="n">
        <v>0.1</v>
      </c>
      <c r="P136" t="n">
        <v>500</v>
      </c>
      <c r="Q136" t="inlineStr">
        <is>
          <t>2026-07-12_21-15-58/surrogate_6x6.pth</t>
        </is>
      </c>
      <c r="R136" t="n">
        <v>0.003</v>
      </c>
      <c r="S136" t="inlineStr">
        <is>
          <t>Done</t>
        </is>
      </c>
      <c r="V136">
        <f>HYPERLINK("c:\users\omer\rl-qecc-data\2026-07-24_15-41-11_448860\postProcessing.png","plot")</f>
        <v/>
      </c>
      <c r="W136">
        <f>HYPERLINK("c:\users\omer\rl-qecc-data\2026-07-24_15-41-11_448860\experiment.txt","experiment.txt")</f>
        <v/>
      </c>
    </row>
    <row r="137">
      <c r="H137" t="inlineStr">
        <is>
          <t>c:/users/omer/rl-qecc-data/2026-07-24_15-53-48_3915772</t>
        </is>
      </c>
      <c r="I137" t="n">
        <v>3003</v>
      </c>
      <c r="J137" t="inlineStr">
        <is>
          <t>6,6</t>
        </is>
      </c>
      <c r="K137" t="n">
        <v>12</v>
      </c>
      <c r="M137" t="inlineStr">
        <is>
          <t>hybrid</t>
        </is>
      </c>
      <c r="N137" t="inlineStr">
        <is>
          <t>Yes</t>
        </is>
      </c>
      <c r="O137" t="n">
        <v>0.1</v>
      </c>
      <c r="P137" t="n">
        <v>500</v>
      </c>
      <c r="Q137" t="inlineStr">
        <is>
          <t>2026-07-12_21-15-58/surrogate_6x6.pth</t>
        </is>
      </c>
      <c r="R137" t="n">
        <v>0.003</v>
      </c>
      <c r="S137" t="inlineStr">
        <is>
          <t>Done</t>
        </is>
      </c>
      <c r="V137">
        <f>HYPERLINK("c:\users\omer\rl-qecc-data\2026-07-24_15-53-48_3915772\postProcessing.png","plot")</f>
        <v/>
      </c>
      <c r="W137">
        <f>HYPERLINK("c:\users\omer\rl-qecc-data\2026-07-24_15-53-48_3915772\experiment.txt","experiment.txt")</f>
        <v/>
      </c>
    </row>
    <row r="138">
      <c r="H138" t="inlineStr">
        <is>
          <t>c:/users/omer/rl-qecc-data/2026-07-24_19-13-01_3929851</t>
        </is>
      </c>
      <c r="I138" t="n">
        <v>460101</v>
      </c>
      <c r="J138" t="inlineStr">
        <is>
          <t>12,6</t>
        </is>
      </c>
      <c r="K138" t="n">
        <v>1</v>
      </c>
      <c r="M138" t="inlineStr">
        <is>
          <t>hybrid</t>
        </is>
      </c>
      <c r="N138" t="inlineStr">
        <is>
          <t>Yes</t>
        </is>
      </c>
      <c r="O138" t="n">
        <v>0.1</v>
      </c>
      <c r="P138" t="n">
        <v>20</v>
      </c>
      <c r="Q138" t="inlineStr">
        <is>
          <t>2026-07-12_20-18-32/surrogate_6x6.pth</t>
        </is>
      </c>
      <c r="R138" t="n">
        <v>0.5</v>
      </c>
      <c r="S138" t="inlineStr">
        <is>
          <t>Done</t>
        </is>
      </c>
      <c r="V138">
        <f>HYPERLINK("c:\users\omer\rl-qecc-data\2026-07-24_19-13-01_3929851\postProcessing.png","plot")</f>
        <v/>
      </c>
      <c r="W138">
        <f>HYPERLINK("c:\users\omer\rl-qecc-data\2026-07-24_19-13-01_3929851\experiment.txt","experiment.txt")</f>
        <v/>
      </c>
    </row>
    <row r="139">
      <c r="H139" t="inlineStr">
        <is>
          <t>c:/users/omer/rl-qecc-data/2026-07-24_19-13-01_467025</t>
        </is>
      </c>
      <c r="I139" t="n">
        <v>5050</v>
      </c>
      <c r="J139" t="inlineStr">
        <is>
          <t>9,6</t>
        </is>
      </c>
      <c r="K139" t="n">
        <v>1</v>
      </c>
      <c r="M139" t="inlineStr">
        <is>
          <t>hybrid</t>
        </is>
      </c>
      <c r="N139" t="inlineStr">
        <is>
          <t>Yes</t>
        </is>
      </c>
      <c r="O139" t="n">
        <v>0.1</v>
      </c>
      <c r="P139" t="n">
        <v>20</v>
      </c>
      <c r="Q139" t="inlineStr">
        <is>
          <t>2026-07-12_20-18-32/surrogate_6x6.pth</t>
        </is>
      </c>
      <c r="R139" t="n">
        <v>0.5</v>
      </c>
      <c r="S139" t="inlineStr">
        <is>
          <t>Done</t>
        </is>
      </c>
      <c r="V139">
        <f>HYPERLINK("c:\users\omer\rl-qecc-data\2026-07-24_19-13-01_467025\postProcessing.png","plot")</f>
        <v/>
      </c>
      <c r="W139">
        <f>HYPERLINK("c:\users\omer\rl-qecc-data\2026-07-24_19-13-01_467025\experiment.txt","experiment.txt")</f>
        <v/>
      </c>
    </row>
    <row r="140">
      <c r="H140" t="inlineStr">
        <is>
          <t>c:/users/omer/rl-qecc-data/2026-07-24_19-13-01_901712</t>
        </is>
      </c>
      <c r="I140" t="n">
        <v>22222222</v>
      </c>
      <c r="J140" t="inlineStr">
        <is>
          <t>6,6</t>
        </is>
      </c>
      <c r="K140" t="n">
        <v>1</v>
      </c>
      <c r="M140" t="inlineStr">
        <is>
          <t>hybrid</t>
        </is>
      </c>
      <c r="N140" t="inlineStr">
        <is>
          <t>Yes</t>
        </is>
      </c>
      <c r="O140" t="n">
        <v>0.1</v>
      </c>
      <c r="P140" t="n">
        <v>20</v>
      </c>
      <c r="Q140" t="inlineStr">
        <is>
          <t>2026-07-12_20-18-32/surrogate_6x6.pth</t>
        </is>
      </c>
      <c r="R140" t="n">
        <v>0.5</v>
      </c>
      <c r="S140" t="inlineStr">
        <is>
          <t>Done</t>
        </is>
      </c>
      <c r="V140">
        <f>HYPERLINK("c:\users\omer\rl-qecc-data\2026-07-24_19-13-01_901712\postProcessing.png","plot")</f>
        <v/>
      </c>
      <c r="W140">
        <f>HYPERLINK("c:\users\omer\rl-qecc-data\2026-07-24_19-13-01_901712\experiment.txt","experiment.txt")</f>
        <v/>
      </c>
    </row>
    <row r="141">
      <c r="H141" t="inlineStr">
        <is>
          <t>c:/users/omer/rl-qecc-data/2026-07-24_23-45-14_2201297</t>
        </is>
      </c>
      <c r="I141" t="n">
        <v>546564</v>
      </c>
      <c r="J141" t="inlineStr">
        <is>
          <t>9,6</t>
        </is>
      </c>
      <c r="K141" t="n">
        <v>1</v>
      </c>
      <c r="M141" t="inlineStr">
        <is>
          <t>hybrid</t>
        </is>
      </c>
      <c r="N141" t="inlineStr">
        <is>
          <t>Yes</t>
        </is>
      </c>
      <c r="O141" t="n">
        <v>0.1</v>
      </c>
      <c r="P141" t="n">
        <v>20</v>
      </c>
      <c r="Q141" t="inlineStr">
        <is>
          <t>2026-07-12_20-18-32/surrogate_6x6.pth</t>
        </is>
      </c>
      <c r="R141" t="n">
        <v>0.5</v>
      </c>
      <c r="S141" t="inlineStr">
        <is>
          <t>Done</t>
        </is>
      </c>
      <c r="V141">
        <f>HYPERLINK("c:\users\omer\rl-qecc-data\2026-07-24_23-45-14_2201297\postProcessing.png","plot")</f>
        <v/>
      </c>
      <c r="W141">
        <f>HYPERLINK("c:\users\omer\rl-qecc-data\2026-07-24_23-45-14_2201297\experiment.txt","experiment.txt")</f>
        <v/>
      </c>
    </row>
    <row r="142">
      <c r="H142" t="inlineStr">
        <is>
          <t>c:/users/omer/rl-qecc-data/2026-07-24_23-45-30_4178960</t>
        </is>
      </c>
      <c r="I142" t="n">
        <v>468</v>
      </c>
      <c r="J142" t="inlineStr">
        <is>
          <t>12,6</t>
        </is>
      </c>
      <c r="K142" t="n">
        <v>1</v>
      </c>
      <c r="M142" t="inlineStr">
        <is>
          <t>hybrid</t>
        </is>
      </c>
      <c r="N142" t="inlineStr">
        <is>
          <t>Yes</t>
        </is>
      </c>
      <c r="O142" t="n">
        <v>0.1</v>
      </c>
      <c r="P142" t="n">
        <v>20</v>
      </c>
      <c r="Q142" t="inlineStr">
        <is>
          <t>2026-07-12_20-18-32/surrogate_6x6.pth</t>
        </is>
      </c>
      <c r="R142" t="n">
        <v>0.5</v>
      </c>
      <c r="S142" t="inlineStr">
        <is>
          <t>Done</t>
        </is>
      </c>
      <c r="V142">
        <f>HYPERLINK("c:\users\omer\rl-qecc-data\2026-07-24_23-45-30_4178960\postProcessing.png","plot")</f>
        <v/>
      </c>
      <c r="W142">
        <f>HYPERLINK("c:\users\omer\rl-qecc-data\2026-07-24_23-45-30_4178960\experiment.txt","experiment.txt")</f>
        <v/>
      </c>
    </row>
    <row r="143">
      <c r="H143" t="inlineStr">
        <is>
          <t>c:/users/omer/rl-qecc-data/2026-07-24_23-46-00_3966205</t>
        </is>
      </c>
      <c r="I143" t="n">
        <v>1841</v>
      </c>
      <c r="J143" t="inlineStr">
        <is>
          <t>15,3</t>
        </is>
      </c>
      <c r="K143" t="n">
        <v>1</v>
      </c>
      <c r="M143" t="inlineStr">
        <is>
          <t>hybrid</t>
        </is>
      </c>
      <c r="N143" t="inlineStr">
        <is>
          <t>Yes</t>
        </is>
      </c>
      <c r="O143" t="n">
        <v>0.1</v>
      </c>
      <c r="P143" t="n">
        <v>20</v>
      </c>
      <c r="Q143" t="inlineStr">
        <is>
          <t>2026-07-12_20-18-32/surrogate_6x6.pth</t>
        </is>
      </c>
      <c r="R143" t="n">
        <v>0.5</v>
      </c>
      <c r="S143" t="inlineStr">
        <is>
          <t>Done</t>
        </is>
      </c>
      <c r="V143">
        <f>HYPERLINK("c:\users\omer\rl-qecc-data\2026-07-24_23-46-00_3966205\postProcessing.png","plot")</f>
        <v/>
      </c>
      <c r="W143">
        <f>HYPERLINK("c:\users\omer\rl-qecc-data\2026-07-24_23-46-00_3966205\experiment.txt","experiment.txt")</f>
        <v/>
      </c>
    </row>
    <row r="144">
      <c r="H144" t="inlineStr">
        <is>
          <t>c:/users/omer/rl-qecc-data/2026-07-24_23-47-11_4184388</t>
        </is>
      </c>
      <c r="I144" t="n">
        <v>84846464</v>
      </c>
      <c r="J144" t="inlineStr">
        <is>
          <t>12,6</t>
        </is>
      </c>
      <c r="K144" t="n">
        <v>1</v>
      </c>
      <c r="M144" t="inlineStr">
        <is>
          <t>hybrid</t>
        </is>
      </c>
      <c r="N144" t="inlineStr">
        <is>
          <t>Yes</t>
        </is>
      </c>
      <c r="O144" t="n">
        <v>0.1</v>
      </c>
      <c r="P144" t="n">
        <v>20</v>
      </c>
      <c r="Q144" t="inlineStr">
        <is>
          <t>2026-07-12_20-18-32/surrogate_6x6.pth</t>
        </is>
      </c>
      <c r="R144" t="n">
        <v>0.5</v>
      </c>
      <c r="S144" t="inlineStr">
        <is>
          <t>Done</t>
        </is>
      </c>
      <c r="V144">
        <f>HYPERLINK("c:\users\omer\rl-qecc-data\2026-07-24_23-47-11_4184388\postProcessing.png","plot")</f>
        <v/>
      </c>
      <c r="W144">
        <f>HYPERLINK("c:\users\omer\rl-qecc-data\2026-07-24_23-47-11_4184388\experiment.txt","experiment.txt")</f>
        <v/>
      </c>
    </row>
    <row r="145">
      <c r="H145" t="inlineStr">
        <is>
          <t>c:/users/omer/rl-qecc-data/2026-07-24_23-47-12_1072256</t>
        </is>
      </c>
      <c r="I145" t="n">
        <v>6856924</v>
      </c>
      <c r="J145" t="inlineStr">
        <is>
          <t>9,6</t>
        </is>
      </c>
      <c r="K145" t="n">
        <v>1</v>
      </c>
      <c r="M145" t="inlineStr">
        <is>
          <t>hybrid</t>
        </is>
      </c>
      <c r="N145" t="inlineStr">
        <is>
          <t>Yes</t>
        </is>
      </c>
      <c r="O145" t="n">
        <v>0.1</v>
      </c>
      <c r="P145" t="n">
        <v>20</v>
      </c>
      <c r="Q145" t="inlineStr">
        <is>
          <t>2026-07-12_20-18-32/surrogate_6x6.pth</t>
        </is>
      </c>
      <c r="R145" t="n">
        <v>0.5</v>
      </c>
      <c r="S145" t="inlineStr">
        <is>
          <t>Done</t>
        </is>
      </c>
      <c r="V145">
        <f>HYPERLINK("c:\users\omer\rl-qecc-data\2026-07-24_23-47-12_1072256\postProcessing.png","plot")</f>
        <v/>
      </c>
      <c r="W145">
        <f>HYPERLINK("c:\users\omer\rl-qecc-data\2026-07-24_23-47-12_1072256\experiment.txt","experiment.txt")</f>
        <v/>
      </c>
    </row>
    <row r="146">
      <c r="H146" t="inlineStr">
        <is>
          <t>c:/users/omer/rl-qecc-data/2026-07-24_23-48-10_1074248</t>
        </is>
      </c>
      <c r="I146" t="n">
        <v>314159265</v>
      </c>
      <c r="J146" t="inlineStr">
        <is>
          <t>15,3</t>
        </is>
      </c>
      <c r="K146" t="n">
        <v>1</v>
      </c>
      <c r="M146" t="inlineStr">
        <is>
          <t>hybrid</t>
        </is>
      </c>
      <c r="N146" t="inlineStr">
        <is>
          <t>Yes</t>
        </is>
      </c>
      <c r="O146" t="n">
        <v>0.1</v>
      </c>
      <c r="P146" t="n">
        <v>20</v>
      </c>
      <c r="Q146" t="inlineStr">
        <is>
          <t>2026-07-12_20-18-32/surrogate_6x6.pth</t>
        </is>
      </c>
      <c r="R146" t="n">
        <v>0.5</v>
      </c>
      <c r="S146" t="inlineStr">
        <is>
          <t>Done</t>
        </is>
      </c>
      <c r="V146">
        <f>HYPERLINK("c:\users\omer\rl-qecc-data\2026-07-24_23-48-10_1074248\postProcessing.png","plot")</f>
        <v/>
      </c>
      <c r="W146">
        <f>HYPERLINK("c:\users\omer\rl-qecc-data\2026-07-24_23-48-10_1074248\experiment.txt","experiment.txt")</f>
        <v/>
      </c>
    </row>
    <row r="147">
      <c r="H147" t="inlineStr">
        <is>
          <t>c:/users/omer/rl-qecc-data/2026-07-24_23-49-17_2235803</t>
        </is>
      </c>
      <c r="I147" t="n">
        <v>4</v>
      </c>
      <c r="J147" t="inlineStr">
        <is>
          <t>9,6</t>
        </is>
      </c>
      <c r="K147" t="n">
        <v>1</v>
      </c>
      <c r="M147" t="inlineStr">
        <is>
          <t>hybrid</t>
        </is>
      </c>
      <c r="N147" t="inlineStr">
        <is>
          <t>Yes</t>
        </is>
      </c>
      <c r="O147" t="n">
        <v>0.1</v>
      </c>
      <c r="P147" t="n">
        <v>20</v>
      </c>
      <c r="Q147" t="inlineStr">
        <is>
          <t>2026-07-12_20-18-32/surrogate_6x6.pth</t>
        </is>
      </c>
      <c r="R147" t="n">
        <v>0.5</v>
      </c>
      <c r="S147" t="inlineStr">
        <is>
          <t>Done</t>
        </is>
      </c>
      <c r="V147">
        <f>HYPERLINK("c:\users\omer\rl-qecc-data\2026-07-24_23-49-17_2235803\postProcessing.png","plot")</f>
        <v/>
      </c>
      <c r="W147">
        <f>HYPERLINK("c:\users\omer\rl-qecc-data\2026-07-24_23-49-17_2235803\experiment.txt","experiment.txt")</f>
        <v/>
      </c>
    </row>
    <row r="148">
      <c r="H148" t="inlineStr">
        <is>
          <t>c:/users/omer/rl-qecc-data/2026-07-24_23-49-17_2688</t>
        </is>
      </c>
      <c r="I148" t="n">
        <v>6</v>
      </c>
      <c r="J148" t="inlineStr">
        <is>
          <t>15,3</t>
        </is>
      </c>
      <c r="K148" t="n">
        <v>1</v>
      </c>
      <c r="M148" t="inlineStr">
        <is>
          <t>hybrid</t>
        </is>
      </c>
      <c r="N148" t="inlineStr">
        <is>
          <t>Yes</t>
        </is>
      </c>
      <c r="O148" t="n">
        <v>0.1</v>
      </c>
      <c r="P148" t="n">
        <v>20</v>
      </c>
      <c r="Q148" t="inlineStr">
        <is>
          <t>2026-07-12_20-18-32/surrogate_6x6.pth</t>
        </is>
      </c>
      <c r="R148" t="n">
        <v>0.5</v>
      </c>
      <c r="S148" t="inlineStr">
        <is>
          <t>Done</t>
        </is>
      </c>
      <c r="V148">
        <f>HYPERLINK("c:\users\omer\rl-qecc-data\2026-07-24_23-49-17_2688\postProcessing.png","plot")</f>
        <v/>
      </c>
      <c r="W148">
        <f>HYPERLINK("c:\users\omer\rl-qecc-data\2026-07-24_23-49-17_2688\experiment.txt","experiment.txt")</f>
        <v/>
      </c>
    </row>
    <row r="149">
      <c r="H149" t="inlineStr">
        <is>
          <t>c:/users/omer/rl-qecc-data/2026-07-24_23-49-47_1672344</t>
        </is>
      </c>
      <c r="I149" t="n">
        <v>5</v>
      </c>
      <c r="J149" t="inlineStr">
        <is>
          <t>12,6</t>
        </is>
      </c>
      <c r="K149" t="n">
        <v>1</v>
      </c>
      <c r="M149" t="inlineStr">
        <is>
          <t>hybrid</t>
        </is>
      </c>
      <c r="N149" t="inlineStr">
        <is>
          <t>Yes</t>
        </is>
      </c>
      <c r="O149" t="n">
        <v>0.1</v>
      </c>
      <c r="P149" t="n">
        <v>20</v>
      </c>
      <c r="Q149" t="inlineStr">
        <is>
          <t>2026-07-12_20-18-32/surrogate_6x6.pth</t>
        </is>
      </c>
      <c r="R149" t="n">
        <v>0.5</v>
      </c>
      <c r="S149" t="inlineStr">
        <is>
          <t>Done</t>
        </is>
      </c>
      <c r="V149">
        <f>HYPERLINK("c:\users\omer\rl-qecc-data\2026-07-24_23-49-47_1672344\postProcessing.png","plot")</f>
        <v/>
      </c>
      <c r="W149">
        <f>HYPERLINK("c:\users\omer\rl-qecc-data\2026-07-24_23-49-47_1672344\experiment.txt","experiment.txt")</f>
        <v/>
      </c>
    </row>
    <row r="150">
      <c r="H150" t="inlineStr">
        <is>
          <t>c:/users/omer/rl-qecc-data/2026-07-24_23-51-47_2207626</t>
        </is>
      </c>
      <c r="I150" t="n">
        <v>4684157</v>
      </c>
      <c r="J150" t="inlineStr">
        <is>
          <t>12,6</t>
        </is>
      </c>
      <c r="K150" t="n">
        <v>1</v>
      </c>
      <c r="M150" t="inlineStr">
        <is>
          <t>hybrid</t>
        </is>
      </c>
      <c r="N150" t="inlineStr">
        <is>
          <t>Yes</t>
        </is>
      </c>
      <c r="O150" t="n">
        <v>0.1</v>
      </c>
      <c r="P150" t="n">
        <v>20</v>
      </c>
      <c r="Q150" t="inlineStr">
        <is>
          <t>2026-07-12_20-18-32/surrogate_6x6.pth</t>
        </is>
      </c>
      <c r="R150" t="n">
        <v>0.5</v>
      </c>
      <c r="S150" t="inlineStr">
        <is>
          <t>Done</t>
        </is>
      </c>
      <c r="V150">
        <f>HYPERLINK("c:\users\omer\rl-qecc-data\2026-07-24_23-51-47_2207626\postProcessing.png","plot")</f>
        <v/>
      </c>
      <c r="W150">
        <f>HYPERLINK("c:\users\omer\rl-qecc-data\2026-07-24_23-51-47_2207626\experiment.txt","experiment.txt")</f>
        <v/>
      </c>
    </row>
    <row r="151">
      <c r="H151" t="inlineStr">
        <is>
          <t>c:/users/omer/rl-qecc-data/2026-07-24_23-54-53_1288792</t>
        </is>
      </c>
      <c r="I151" t="n">
        <v>564184</v>
      </c>
      <c r="J151" t="inlineStr">
        <is>
          <t>15,3</t>
        </is>
      </c>
      <c r="K151" t="n">
        <v>1</v>
      </c>
      <c r="M151" t="inlineStr">
        <is>
          <t>hybrid</t>
        </is>
      </c>
      <c r="N151" t="inlineStr">
        <is>
          <t>Yes</t>
        </is>
      </c>
      <c r="O151" t="n">
        <v>0.1</v>
      </c>
      <c r="P151" t="n">
        <v>20</v>
      </c>
      <c r="Q151" t="inlineStr">
        <is>
          <t>2026-07-12_20-18-32/surrogate_6x6.pth</t>
        </is>
      </c>
      <c r="R151" t="n">
        <v>0.5</v>
      </c>
      <c r="S151" t="inlineStr">
        <is>
          <t>Done</t>
        </is>
      </c>
      <c r="V151">
        <f>HYPERLINK("c:\users\omer\rl-qecc-data\2026-07-24_23-54-53_1288792\postProcessing.png","plot")</f>
        <v/>
      </c>
      <c r="W151">
        <f>HYPERLINK("c:\users\omer\rl-qecc-data\2026-07-24_23-54-53_1288792\experiment.txt","experiment.txt")</f>
        <v/>
      </c>
    </row>
    <row r="152">
      <c r="H152" t="inlineStr">
        <is>
          <t>c:/users/omer/rl-qecc-data/2026-07-24_23-56-59_1699958</t>
        </is>
      </c>
      <c r="I152" t="n">
        <v>478</v>
      </c>
      <c r="J152" t="inlineStr">
        <is>
          <t>12,6</t>
        </is>
      </c>
      <c r="K152" t="n">
        <v>1</v>
      </c>
      <c r="M152" t="inlineStr">
        <is>
          <t>hybrid</t>
        </is>
      </c>
      <c r="N152" t="inlineStr">
        <is>
          <t>Yes</t>
        </is>
      </c>
      <c r="O152" t="n">
        <v>0.1</v>
      </c>
      <c r="P152" t="n">
        <v>20</v>
      </c>
      <c r="Q152" t="inlineStr">
        <is>
          <t>2026-07-12_20-18-32/surrogate_6x6.pth</t>
        </is>
      </c>
      <c r="R152" t="n">
        <v>0.5</v>
      </c>
      <c r="S152" t="inlineStr">
        <is>
          <t>Done</t>
        </is>
      </c>
      <c r="V152">
        <f>HYPERLINK("c:\users\omer\rl-qecc-data\2026-07-24_23-56-59_1699958\postProcessing.png","plot")</f>
        <v/>
      </c>
      <c r="W152">
        <f>HYPERLINK("c:\users\omer\rl-qecc-data\2026-07-24_23-56-59_1699958\experiment.txt","experiment.txt")</f>
        <v/>
      </c>
    </row>
    <row r="153">
      <c r="H153" t="inlineStr">
        <is>
          <t>c:/users/omer/rl-qecc-data/2026-07-24_23-56-59_1699959</t>
        </is>
      </c>
      <c r="I153" t="n">
        <v>3463475368</v>
      </c>
      <c r="J153" t="inlineStr">
        <is>
          <t>9,6</t>
        </is>
      </c>
      <c r="K153" t="n">
        <v>1</v>
      </c>
      <c r="M153" t="inlineStr">
        <is>
          <t>hybrid</t>
        </is>
      </c>
      <c r="N153" t="inlineStr">
        <is>
          <t>Yes</t>
        </is>
      </c>
      <c r="O153" t="n">
        <v>0.1</v>
      </c>
      <c r="P153" t="n">
        <v>20</v>
      </c>
      <c r="Q153" t="inlineStr">
        <is>
          <t>2026-07-12_20-18-32/surrogate_6x6.pth</t>
        </is>
      </c>
      <c r="R153" t="n">
        <v>0.5</v>
      </c>
      <c r="S153" t="inlineStr">
        <is>
          <t>Done</t>
        </is>
      </c>
      <c r="V153">
        <f>HYPERLINK("c:\users\omer\rl-qecc-data\2026-07-24_23-56-59_1699959\postProcessing.png","plot")</f>
        <v/>
      </c>
      <c r="W153">
        <f>HYPERLINK("c:\users\omer\rl-qecc-data\2026-07-24_23-56-59_1699959\experiment.txt","experiment.txt")</f>
        <v/>
      </c>
    </row>
    <row r="154">
      <c r="H154" t="inlineStr">
        <is>
          <t>c:/users/omer/rl-qecc-data/2026-07-24_23-58-51_4001941</t>
        </is>
      </c>
      <c r="I154" t="n">
        <v>55376</v>
      </c>
      <c r="J154" t="inlineStr">
        <is>
          <t>12,6</t>
        </is>
      </c>
      <c r="K154" t="n">
        <v>1</v>
      </c>
      <c r="M154" t="inlineStr">
        <is>
          <t>hybrid</t>
        </is>
      </c>
      <c r="N154" t="inlineStr">
        <is>
          <t>Yes</t>
        </is>
      </c>
      <c r="O154" t="n">
        <v>0.1</v>
      </c>
      <c r="P154" t="n">
        <v>20</v>
      </c>
      <c r="Q154" t="inlineStr">
        <is>
          <t>2026-07-12_20-18-32/surrogate_6x6.pth</t>
        </is>
      </c>
      <c r="R154" t="n">
        <v>0.5</v>
      </c>
      <c r="S154" t="inlineStr">
        <is>
          <t>Done</t>
        </is>
      </c>
      <c r="V154">
        <f>HYPERLINK("c:\users\omer\rl-qecc-data\2026-07-24_23-58-51_4001941\postProcessing.png","plot")</f>
        <v/>
      </c>
      <c r="W154">
        <f>HYPERLINK("c:\users\omer\rl-qecc-data\2026-07-24_23-58-51_4001941\experiment.txt","experiment.txt")</f>
        <v/>
      </c>
    </row>
    <row r="155">
      <c r="H155" t="inlineStr">
        <is>
          <t>c:/users/omer/rl-qecc-data/2026-07-24_23-58-52_1342286</t>
        </is>
      </c>
      <c r="I155" t="n">
        <v>64352663</v>
      </c>
      <c r="J155" t="inlineStr">
        <is>
          <t>9,6</t>
        </is>
      </c>
      <c r="K155" t="n">
        <v>1</v>
      </c>
      <c r="M155" t="inlineStr">
        <is>
          <t>hybrid</t>
        </is>
      </c>
      <c r="N155" t="inlineStr">
        <is>
          <t>Yes</t>
        </is>
      </c>
      <c r="O155" t="n">
        <v>0.1</v>
      </c>
      <c r="P155" t="n">
        <v>20</v>
      </c>
      <c r="Q155" t="inlineStr">
        <is>
          <t>2026-07-12_20-18-32/surrogate_6x6.pth</t>
        </is>
      </c>
      <c r="R155" t="n">
        <v>0.5</v>
      </c>
      <c r="S155" t="inlineStr">
        <is>
          <t>Done</t>
        </is>
      </c>
      <c r="V155">
        <f>HYPERLINK("c:\users\omer\rl-qecc-data\2026-07-24_23-58-52_1342286\postProcessing.png","plot")</f>
        <v/>
      </c>
      <c r="W155">
        <f>HYPERLINK("c:\users\omer\rl-qecc-data\2026-07-24_23-58-52_1342286\experiment.txt","experiment.txt")</f>
        <v/>
      </c>
    </row>
    <row r="156">
      <c r="H156" t="inlineStr">
        <is>
          <t>c:/users/omer/rl-qecc-data/2026-07-25_00-25-04_3423577</t>
        </is>
      </c>
      <c r="I156" t="n">
        <v>6553</v>
      </c>
      <c r="J156" t="inlineStr">
        <is>
          <t>15,3</t>
        </is>
      </c>
      <c r="K156" t="n">
        <v>1</v>
      </c>
      <c r="M156" t="inlineStr">
        <is>
          <t>hybrid</t>
        </is>
      </c>
      <c r="N156" t="inlineStr">
        <is>
          <t>Yes</t>
        </is>
      </c>
      <c r="O156" t="n">
        <v>0.1</v>
      </c>
      <c r="P156" t="n">
        <v>20</v>
      </c>
      <c r="Q156" t="inlineStr">
        <is>
          <t>2026-07-12_20-18-32/surrogate_6x6.pth</t>
        </is>
      </c>
      <c r="R156" t="n">
        <v>0.5</v>
      </c>
      <c r="S156" t="inlineStr">
        <is>
          <t>Done</t>
        </is>
      </c>
      <c r="V156">
        <f>HYPERLINK("c:\users\omer\rl-qecc-data\2026-07-25_00-25-04_3423577\postProcessing.png","plot")</f>
        <v/>
      </c>
      <c r="W156">
        <f>HYPERLINK("c:\users\omer\rl-qecc-data\2026-07-25_00-25-04_3423577\experiment.txt","experiment.txt")</f>
        <v/>
      </c>
    </row>
    <row r="157">
      <c r="H157" t="inlineStr">
        <is>
          <t>c:/users/omer/rl-qecc-data/2026-07-25_00-28-17_1846618</t>
        </is>
      </c>
      <c r="I157" t="n">
        <v>10100101</v>
      </c>
      <c r="J157" t="inlineStr">
        <is>
          <t>9,6</t>
        </is>
      </c>
      <c r="K157" t="n">
        <v>1</v>
      </c>
      <c r="M157" t="inlineStr">
        <is>
          <t>hybrid</t>
        </is>
      </c>
      <c r="N157" t="inlineStr">
        <is>
          <t>Yes</t>
        </is>
      </c>
      <c r="O157" t="n">
        <v>0.1</v>
      </c>
      <c r="P157" t="n">
        <v>20</v>
      </c>
      <c r="Q157" t="inlineStr">
        <is>
          <t>2026-07-12_20-18-32/surrogate_6x6.pth</t>
        </is>
      </c>
      <c r="R157" t="n">
        <v>0.5</v>
      </c>
      <c r="S157" t="inlineStr">
        <is>
          <t>Done</t>
        </is>
      </c>
      <c r="V157">
        <f>HYPERLINK("c:\users\omer\rl-qecc-data\2026-07-25_00-28-17_1846618\postProcessing.png","plot")</f>
        <v/>
      </c>
      <c r="W157">
        <f>HYPERLINK("c:\users\omer\rl-qecc-data\2026-07-25_00-28-17_1846618\experiment.txt","experiment.txt")</f>
        <v/>
      </c>
    </row>
    <row r="158">
      <c r="H158" t="inlineStr">
        <is>
          <t>c:/users/omer/rl-qecc-data/2026-07-25_00-29-37_1857095</t>
        </is>
      </c>
      <c r="I158" t="n">
        <v>202020</v>
      </c>
      <c r="J158" t="inlineStr">
        <is>
          <t>12,6</t>
        </is>
      </c>
      <c r="K158" t="n">
        <v>1</v>
      </c>
      <c r="M158" t="inlineStr">
        <is>
          <t>hybrid</t>
        </is>
      </c>
      <c r="N158" t="inlineStr">
        <is>
          <t>Yes</t>
        </is>
      </c>
      <c r="O158" t="n">
        <v>0.1</v>
      </c>
      <c r="P158" t="n">
        <v>20</v>
      </c>
      <c r="Q158" t="inlineStr">
        <is>
          <t>2026-07-12_20-18-32/surrogate_6x6.pth</t>
        </is>
      </c>
      <c r="R158" t="n">
        <v>0.5</v>
      </c>
      <c r="S158" t="inlineStr">
        <is>
          <t>Done</t>
        </is>
      </c>
      <c r="V158">
        <f>HYPERLINK("c:\users\omer\rl-qecc-data\2026-07-25_00-29-37_1857095\postProcessing.png","plot")</f>
        <v/>
      </c>
      <c r="W158">
        <f>HYPERLINK("c:\users\omer\rl-qecc-data\2026-07-25_00-29-37_1857095\experiment.txt","experiment.txt")</f>
        <v/>
      </c>
    </row>
    <row r="159">
      <c r="H159" t="inlineStr">
        <is>
          <t>c:/users/omer/rl-qecc-data/2026-07-25_00-30-22_1861746</t>
        </is>
      </c>
      <c r="I159" t="n">
        <v>303030</v>
      </c>
      <c r="J159" t="inlineStr">
        <is>
          <t>15,3</t>
        </is>
      </c>
      <c r="K159" t="n">
        <v>1</v>
      </c>
      <c r="M159" t="inlineStr">
        <is>
          <t>hybrid</t>
        </is>
      </c>
      <c r="N159" t="inlineStr">
        <is>
          <t>Yes</t>
        </is>
      </c>
      <c r="O159" t="n">
        <v>0.1</v>
      </c>
      <c r="P159" t="n">
        <v>20</v>
      </c>
      <c r="Q159" t="inlineStr">
        <is>
          <t>2026-07-12_20-18-32/surrogate_6x6.pth</t>
        </is>
      </c>
      <c r="R159" t="n">
        <v>0.5</v>
      </c>
      <c r="S159" t="inlineStr">
        <is>
          <t>Done</t>
        </is>
      </c>
      <c r="V159">
        <f>HYPERLINK("c:\users\omer\rl-qecc-data\2026-07-25_00-30-22_1861746\postProcessing.png","plot")</f>
        <v/>
      </c>
      <c r="W159">
        <f>HYPERLINK("c:\users\omer\rl-qecc-data\2026-07-25_00-30-22_1861746\experiment.txt","experiment.txt")</f>
        <v/>
      </c>
    </row>
    <row r="160">
      <c r="H160" t="inlineStr">
        <is>
          <t>c:/users/omer/rl-qecc-data/2026-07-25_01-20-12_1998550</t>
        </is>
      </c>
      <c r="I160" t="n">
        <v>54851638</v>
      </c>
      <c r="J160" t="inlineStr">
        <is>
          <t>9,6</t>
        </is>
      </c>
      <c r="K160" t="n">
        <v>1</v>
      </c>
      <c r="M160" t="inlineStr">
        <is>
          <t>hybrid</t>
        </is>
      </c>
      <c r="N160" t="inlineStr">
        <is>
          <t>Yes</t>
        </is>
      </c>
      <c r="O160" t="n">
        <v>0.1</v>
      </c>
      <c r="P160" t="n">
        <v>20</v>
      </c>
      <c r="Q160" t="inlineStr">
        <is>
          <t>2026-07-12_20-18-32/surrogate_6x6.pth</t>
        </is>
      </c>
      <c r="R160" t="n">
        <v>0.5</v>
      </c>
      <c r="S160" t="inlineStr">
        <is>
          <t>Done</t>
        </is>
      </c>
      <c r="V160">
        <f>HYPERLINK("c:\users\omer\rl-qecc-data\2026-07-25_01-20-12_1998550\postProcessing.png","plot")</f>
        <v/>
      </c>
      <c r="W160">
        <f>HYPERLINK("c:\users\omer\rl-qecc-data\2026-07-25_01-20-12_1998550\experiment.txt","experiment.txt")</f>
        <v/>
      </c>
    </row>
    <row r="161">
      <c r="H161" t="inlineStr">
        <is>
          <t>c:/users/omer/rl-qecc-data/2026-07-25_01-21-17_391983</t>
        </is>
      </c>
      <c r="I161" t="n">
        <v>65312321</v>
      </c>
      <c r="J161" t="inlineStr">
        <is>
          <t>12,6</t>
        </is>
      </c>
      <c r="K161" t="n">
        <v>1</v>
      </c>
      <c r="M161" t="inlineStr">
        <is>
          <t>hybrid</t>
        </is>
      </c>
      <c r="N161" t="inlineStr">
        <is>
          <t>Yes</t>
        </is>
      </c>
      <c r="O161" t="n">
        <v>0.1</v>
      </c>
      <c r="P161" t="n">
        <v>20</v>
      </c>
      <c r="Q161" t="inlineStr">
        <is>
          <t>2026-07-12_20-18-32/surrogate_6x6.pth</t>
        </is>
      </c>
      <c r="R161" t="n">
        <v>0.5</v>
      </c>
      <c r="S161" t="inlineStr">
        <is>
          <t>Done</t>
        </is>
      </c>
      <c r="V161">
        <f>HYPERLINK("c:\users\omer\rl-qecc-data\2026-07-25_01-21-17_391983\postProcessing.png","plot")</f>
        <v/>
      </c>
      <c r="W161">
        <f>HYPERLINK("c:\users\omer\rl-qecc-data\2026-07-25_01-21-17_391983\experiment.txt","experiment.txt")</f>
        <v/>
      </c>
    </row>
    <row r="162">
      <c r="H162" t="inlineStr">
        <is>
          <t>c:/users/omer/rl-qecc-data/2026-07-25_01-22-18_2842268</t>
        </is>
      </c>
      <c r="I162" t="n">
        <v>25925907</v>
      </c>
      <c r="J162" t="inlineStr">
        <is>
          <t>15,3</t>
        </is>
      </c>
      <c r="K162" t="n">
        <v>1</v>
      </c>
      <c r="M162" t="inlineStr">
        <is>
          <t>hybrid</t>
        </is>
      </c>
      <c r="N162" t="inlineStr">
        <is>
          <t>Yes</t>
        </is>
      </c>
      <c r="O162" t="n">
        <v>0.1</v>
      </c>
      <c r="P162" t="n">
        <v>20</v>
      </c>
      <c r="Q162" t="inlineStr">
        <is>
          <t>2026-07-12_20-18-32/surrogate_6x6.pth</t>
        </is>
      </c>
      <c r="R162" t="n">
        <v>0.5</v>
      </c>
      <c r="S162" t="inlineStr">
        <is>
          <t>Done</t>
        </is>
      </c>
      <c r="V162">
        <f>HYPERLINK("c:\users\omer\rl-qecc-data\2026-07-25_01-22-18_2842268\postProcessing.png","plot")</f>
        <v/>
      </c>
      <c r="W162">
        <f>HYPERLINK("c:\users\omer\rl-qecc-data\2026-07-25_01-22-18_2842268\experiment.txt","experiment.txt")</f>
        <v/>
      </c>
    </row>
    <row r="163">
      <c r="H163" t="inlineStr">
        <is>
          <t>c:/users/omer/rl-qecc-data/2026-07-25_01-36-23_4040792</t>
        </is>
      </c>
      <c r="I163" t="n">
        <v>710936838</v>
      </c>
      <c r="J163" t="inlineStr">
        <is>
          <t>15,3</t>
        </is>
      </c>
      <c r="K163" t="n">
        <v>1</v>
      </c>
      <c r="M163" t="inlineStr">
        <is>
          <t>mlp</t>
        </is>
      </c>
      <c r="N163" t="inlineStr">
        <is>
          <t>Yes</t>
        </is>
      </c>
      <c r="O163" t="n">
        <v>0.1</v>
      </c>
      <c r="P163" t="n">
        <v>10</v>
      </c>
      <c r="Q163" t="inlineStr">
        <is>
          <t>2026-07-12_20-18-32/surrogate_6x6.pth</t>
        </is>
      </c>
      <c r="R163" t="n">
        <v>0.5</v>
      </c>
      <c r="S163" t="inlineStr">
        <is>
          <t>Done</t>
        </is>
      </c>
      <c r="V163">
        <f>HYPERLINK("c:\users\omer\rl-qecc-data\2026-07-25_01-36-23_4040792\postProcessing.png","plot")</f>
        <v/>
      </c>
      <c r="W163">
        <f>HYPERLINK("c:\users\omer\rl-qecc-data\2026-07-25_01-36-23_4040792\experiment.txt","experiment.txt")</f>
        <v/>
      </c>
    </row>
    <row r="164">
      <c r="H164" t="inlineStr">
        <is>
          <t>c:/users/omer/rl-qecc-data/2026-07-25_01-38-33_67307</t>
        </is>
      </c>
      <c r="I164" t="n">
        <v>546564</v>
      </c>
      <c r="J164" t="inlineStr">
        <is>
          <t>9,6</t>
        </is>
      </c>
      <c r="K164" t="n">
        <v>1</v>
      </c>
      <c r="M164" t="inlineStr">
        <is>
          <t>hybrid</t>
        </is>
      </c>
      <c r="N164" t="inlineStr">
        <is>
          <t>Yes</t>
        </is>
      </c>
      <c r="O164" t="n">
        <v>0.1</v>
      </c>
      <c r="P164" t="n">
        <v>20</v>
      </c>
      <c r="Q164" t="inlineStr">
        <is>
          <t>2026-07-12_20-18-32/surrogate_6x6.pth</t>
        </is>
      </c>
      <c r="R164" t="n">
        <v>0.5</v>
      </c>
      <c r="S164" t="inlineStr">
        <is>
          <t>Done</t>
        </is>
      </c>
      <c r="V164">
        <f>HYPERLINK("c:\users\omer\rl-qecc-data\2026-07-25_01-38-33_67307\postProcessing.png","plot")</f>
        <v/>
      </c>
      <c r="W164">
        <f>HYPERLINK("c:\users\omer\rl-qecc-data\2026-07-25_01-38-33_67307\experiment.txt","experiment.txt")</f>
        <v/>
      </c>
    </row>
    <row r="165">
      <c r="H165" t="inlineStr">
        <is>
          <t>c:/users/omer/rl-qecc-data/2026-07-25_01-38-49_1447335</t>
        </is>
      </c>
      <c r="I165" t="n">
        <v>619864265</v>
      </c>
      <c r="J165" t="inlineStr">
        <is>
          <t>12,6</t>
        </is>
      </c>
      <c r="K165" t="n">
        <v>1</v>
      </c>
      <c r="M165" t="inlineStr">
        <is>
          <t>mlp</t>
        </is>
      </c>
      <c r="N165" t="inlineStr">
        <is>
          <t>Yes</t>
        </is>
      </c>
      <c r="O165" t="n">
        <v>0.1</v>
      </c>
      <c r="P165" t="n">
        <v>10</v>
      </c>
      <c r="Q165" t="inlineStr">
        <is>
          <t>2026-07-12_20-18-32/surrogate_6x6.pth</t>
        </is>
      </c>
      <c r="R165" t="n">
        <v>0.5</v>
      </c>
      <c r="S165" t="inlineStr">
        <is>
          <t>Done</t>
        </is>
      </c>
      <c r="V165">
        <f>HYPERLINK("c:\users\omer\rl-qecc-data\2026-07-25_01-38-49_1447335\postProcessing.png","plot")</f>
        <v/>
      </c>
      <c r="W165">
        <f>HYPERLINK("c:\users\omer\rl-qecc-data\2026-07-25_01-38-49_1447335\experiment.txt","experiment.txt")</f>
        <v/>
      </c>
    </row>
    <row r="166">
      <c r="H166" t="inlineStr">
        <is>
          <t>c:/users/omer/rl-qecc-data/2026-07-25_01-42-55_2807283</t>
        </is>
      </c>
      <c r="I166" t="n">
        <v>442109015</v>
      </c>
      <c r="J166" t="inlineStr">
        <is>
          <t>9,6</t>
        </is>
      </c>
      <c r="K166" t="n">
        <v>1</v>
      </c>
      <c r="M166" t="inlineStr">
        <is>
          <t>mlp</t>
        </is>
      </c>
      <c r="N166" t="inlineStr">
        <is>
          <t>Yes</t>
        </is>
      </c>
      <c r="O166" t="n">
        <v>0.1</v>
      </c>
      <c r="P166" t="n">
        <v>10</v>
      </c>
      <c r="Q166" t="inlineStr">
        <is>
          <t>2026-07-12_20-18-32/surrogate_6x6.pth</t>
        </is>
      </c>
      <c r="R166" t="n">
        <v>0.5</v>
      </c>
      <c r="S166" t="inlineStr">
        <is>
          <t>Done</t>
        </is>
      </c>
      <c r="V166">
        <f>HYPERLINK("c:\users\omer\rl-qecc-data\2026-07-25_01-42-55_2807283\postProcessing.png","plot")</f>
        <v/>
      </c>
      <c r="W166">
        <f>HYPERLINK("c:\users\omer\rl-qecc-data\2026-07-25_01-42-55_2807283\experiment.txt","experiment.txt")</f>
        <v/>
      </c>
    </row>
    <row r="167">
      <c r="H167" t="inlineStr">
        <is>
          <t>c:/users/omer/rl-qecc-data/2026-07-25_01-48-29_716059</t>
        </is>
      </c>
      <c r="I167" t="n">
        <v>397755542</v>
      </c>
      <c r="J167" t="inlineStr">
        <is>
          <t>12,6</t>
        </is>
      </c>
      <c r="K167" t="n">
        <v>1</v>
      </c>
      <c r="M167" t="inlineStr">
        <is>
          <t>mlp</t>
        </is>
      </c>
      <c r="N167" t="inlineStr">
        <is>
          <t>Yes</t>
        </is>
      </c>
      <c r="O167" t="n">
        <v>0.1</v>
      </c>
      <c r="P167" t="n">
        <v>10</v>
      </c>
      <c r="Q167" t="inlineStr">
        <is>
          <t>2026-07-12_20-18-32/surrogate_6x6.pth</t>
        </is>
      </c>
      <c r="R167" t="n">
        <v>0.5</v>
      </c>
      <c r="S167" t="inlineStr">
        <is>
          <t>Done</t>
        </is>
      </c>
      <c r="V167">
        <f>HYPERLINK("c:\users\omer\rl-qecc-data\2026-07-25_01-48-29_716059\postProcessing.png","plot")</f>
        <v/>
      </c>
      <c r="W167">
        <f>HYPERLINK("c:\users\omer\rl-qecc-data\2026-07-25_01-48-29_716059\experiment.txt","experiment.txt")</f>
        <v/>
      </c>
    </row>
    <row r="168">
      <c r="H168" t="inlineStr">
        <is>
          <t>c:/users/omer/rl-qecc-data/2026-07-25_01-54-43_807373</t>
        </is>
      </c>
      <c r="I168" t="n">
        <v>403851061</v>
      </c>
      <c r="J168" t="inlineStr">
        <is>
          <t>9,6</t>
        </is>
      </c>
      <c r="K168" t="n">
        <v>1</v>
      </c>
      <c r="M168" t="inlineStr">
        <is>
          <t>mlp</t>
        </is>
      </c>
      <c r="N168" t="inlineStr">
        <is>
          <t>Yes</t>
        </is>
      </c>
      <c r="O168" t="n">
        <v>0.1</v>
      </c>
      <c r="P168" t="n">
        <v>10</v>
      </c>
      <c r="Q168" t="inlineStr">
        <is>
          <t>2026-07-12_20-18-32/surrogate_6x6.pth</t>
        </is>
      </c>
      <c r="R168" t="n">
        <v>0.5</v>
      </c>
      <c r="S168" t="inlineStr">
        <is>
          <t>Done</t>
        </is>
      </c>
      <c r="V168">
        <f>HYPERLINK("c:\users\omer\rl-qecc-data\2026-07-25_01-54-43_807373\postProcessing.png","plot")</f>
        <v/>
      </c>
      <c r="W168">
        <f>HYPERLINK("c:\users\omer\rl-qecc-data\2026-07-25_01-54-43_807373\experiment.txt","experiment.txt")</f>
        <v/>
      </c>
    </row>
    <row r="169">
      <c r="H169" t="inlineStr">
        <is>
          <t>c:/users/omer/rl-qecc-data/2026-07-25_02-20-11_2818149</t>
        </is>
      </c>
      <c r="I169" t="n">
        <v>468</v>
      </c>
      <c r="J169" t="inlineStr">
        <is>
          <t>12,6</t>
        </is>
      </c>
      <c r="K169" t="n">
        <v>1</v>
      </c>
      <c r="M169" t="inlineStr">
        <is>
          <t>hybrid</t>
        </is>
      </c>
      <c r="N169" t="inlineStr">
        <is>
          <t>Yes</t>
        </is>
      </c>
      <c r="O169" t="n">
        <v>0.1</v>
      </c>
      <c r="P169" t="n">
        <v>20</v>
      </c>
      <c r="Q169" t="inlineStr">
        <is>
          <t>2026-07-12_20-18-32/surrogate_6x6.pth</t>
        </is>
      </c>
      <c r="R169" t="n">
        <v>0.5</v>
      </c>
      <c r="S169" t="inlineStr">
        <is>
          <t>Done</t>
        </is>
      </c>
      <c r="V169">
        <f>HYPERLINK("c:\users\omer\rl-qecc-data\2026-07-25_02-20-11_2818149\postProcessing.png","plot")</f>
        <v/>
      </c>
      <c r="W169">
        <f>HYPERLINK("c:\users\omer\rl-qecc-data\2026-07-25_02-20-11_2818149\experiment.txt","experiment.txt")</f>
        <v/>
      </c>
    </row>
    <row r="170">
      <c r="H170" t="inlineStr">
        <is>
          <t>c:/users/omer/rl-qecc-data/2026-07-25_10-29-46_963285</t>
        </is>
      </c>
      <c r="I170" t="n">
        <v>466555</v>
      </c>
      <c r="J170" t="inlineStr">
        <is>
          <t>15,3</t>
        </is>
      </c>
      <c r="K170" t="n">
        <v>1</v>
      </c>
      <c r="M170" t="inlineStr">
        <is>
          <t>hybrid</t>
        </is>
      </c>
      <c r="N170" t="inlineStr">
        <is>
          <t>Yes</t>
        </is>
      </c>
      <c r="O170" t="n">
        <v>0.1</v>
      </c>
      <c r="P170" t="n">
        <v>20</v>
      </c>
      <c r="Q170" t="inlineStr">
        <is>
          <t>2026-07-12_20-18-32/surrogate_6x6.pth</t>
        </is>
      </c>
      <c r="R170" t="n">
        <v>0.5</v>
      </c>
      <c r="S170" t="inlineStr">
        <is>
          <t>Done</t>
        </is>
      </c>
      <c r="V170">
        <f>HYPERLINK("c:\users\omer\rl-qecc-data\2026-07-25_10-29-46_963285\postProcessing.png","plot")</f>
        <v/>
      </c>
      <c r="W170">
        <f>HYPERLINK("c:\users\omer\rl-qecc-data\2026-07-25_10-29-46_963285\experiment.txt","experiment.txt")</f>
        <v/>
      </c>
    </row>
    <row r="171">
      <c r="H171" t="inlineStr">
        <is>
          <t>c:/users/omer/rl-qecc-data/2026-07-25_20-43-47_1001371</t>
        </is>
      </c>
      <c r="I171" t="n">
        <v>34653545</v>
      </c>
      <c r="J171" t="inlineStr">
        <is>
          <t>6,6</t>
        </is>
      </c>
      <c r="K171" t="n">
        <v>1</v>
      </c>
      <c r="M171" t="inlineStr">
        <is>
          <t>hybrid</t>
        </is>
      </c>
      <c r="N171" t="inlineStr">
        <is>
          <t>Yes</t>
        </is>
      </c>
      <c r="O171" t="n">
        <v>0.1</v>
      </c>
      <c r="P171" t="n">
        <v>20</v>
      </c>
      <c r="Q171" t="inlineStr">
        <is>
          <t>2026-07-12_20-18-32/surrogate_6x6.pth</t>
        </is>
      </c>
      <c r="R171" t="n">
        <v>0.5</v>
      </c>
      <c r="S171" t="inlineStr">
        <is>
          <t>Done</t>
        </is>
      </c>
      <c r="V171">
        <f>HYPERLINK("c:\users\omer\rl-qecc-data\2026-07-25_20-43-47_1001371\postProcessing.png","plot")</f>
        <v/>
      </c>
      <c r="W171">
        <f>HYPERLINK("c:\users\omer\rl-qecc-data\2026-07-25_20-43-47_1001371\experiment.txt","experiment.txt")</f>
        <v/>
      </c>
    </row>
    <row r="172">
      <c r="H172" t="inlineStr">
        <is>
          <t>c:/users/omer/rl-qecc-data/2026-07-25_20-43-47_4025676</t>
        </is>
      </c>
      <c r="I172" t="n">
        <v>34645628</v>
      </c>
      <c r="J172" t="inlineStr">
        <is>
          <t>6,6</t>
        </is>
      </c>
      <c r="K172" t="n">
        <v>1</v>
      </c>
      <c r="M172" t="inlineStr">
        <is>
          <t>hybrid</t>
        </is>
      </c>
      <c r="N172" t="inlineStr">
        <is>
          <t>Yes</t>
        </is>
      </c>
      <c r="O172" t="n">
        <v>0.1</v>
      </c>
      <c r="P172" t="n">
        <v>20</v>
      </c>
      <c r="Q172" t="inlineStr">
        <is>
          <t>2026-07-12_20-18-32/surrogate_6x6.pth</t>
        </is>
      </c>
      <c r="R172" t="n">
        <v>0.5</v>
      </c>
      <c r="S172" t="inlineStr">
        <is>
          <t>Done</t>
        </is>
      </c>
      <c r="V172">
        <f>HYPERLINK("c:\users\omer\rl-qecc-data\2026-07-25_20-43-47_4025676\postProcessing.png","plot")</f>
        <v/>
      </c>
      <c r="W172">
        <f>HYPERLINK("c:\users\omer\rl-qecc-data\2026-07-25_20-43-47_4025676\experiment.txt","experiment.txt")</f>
        <v/>
      </c>
    </row>
    <row r="173">
      <c r="H173" t="inlineStr">
        <is>
          <t>c:/users/omer/rl-qecc-data/2026-07-25_20-43-47_559273</t>
        </is>
      </c>
      <c r="I173" t="n">
        <v>34661465</v>
      </c>
      <c r="J173" t="inlineStr">
        <is>
          <t>6,6</t>
        </is>
      </c>
      <c r="K173" t="n">
        <v>1</v>
      </c>
      <c r="M173" t="inlineStr">
        <is>
          <t>hybrid</t>
        </is>
      </c>
      <c r="N173" t="inlineStr">
        <is>
          <t>Yes</t>
        </is>
      </c>
      <c r="O173" t="n">
        <v>0.1</v>
      </c>
      <c r="P173" t="n">
        <v>20</v>
      </c>
      <c r="Q173" t="inlineStr">
        <is>
          <t>2026-07-12_20-18-32/surrogate_6x6.pth</t>
        </is>
      </c>
      <c r="R173" t="n">
        <v>0.5</v>
      </c>
      <c r="S173" t="inlineStr">
        <is>
          <t>Done</t>
        </is>
      </c>
      <c r="V173">
        <f>HYPERLINK("c:\users\omer\rl-qecc-data\2026-07-25_20-43-47_559273\postProcessing.png","plot")</f>
        <v/>
      </c>
      <c r="W173">
        <f>HYPERLINK("c:\users\omer\rl-qecc-data\2026-07-25_20-43-47_559273\experiment.txt","experiment.txt")</f>
        <v/>
      </c>
    </row>
    <row r="174">
      <c r="H174" t="inlineStr">
        <is>
          <t>c:/users/omer/rl-qecc-data/2026-07-26_13-06-23_1057221</t>
        </is>
      </c>
      <c r="I174" t="n">
        <v>34732735</v>
      </c>
      <c r="J174" t="inlineStr">
        <is>
          <t>6,6</t>
        </is>
      </c>
      <c r="K174" t="n">
        <v>1</v>
      </c>
      <c r="M174" t="inlineStr">
        <is>
          <t>hybrid</t>
        </is>
      </c>
      <c r="N174" t="inlineStr">
        <is>
          <t>Yes</t>
        </is>
      </c>
      <c r="O174" t="n">
        <v>0.1</v>
      </c>
      <c r="P174" t="n">
        <v>20</v>
      </c>
      <c r="Q174" t="inlineStr">
        <is>
          <t>2026-07-12_20-18-32/surrogate_6x6.pth</t>
        </is>
      </c>
      <c r="R174" t="n">
        <v>0.5</v>
      </c>
      <c r="S174" t="inlineStr">
        <is>
          <t>Done</t>
        </is>
      </c>
      <c r="V174">
        <f>HYPERLINK("c:\users\omer\rl-qecc-data\2026-07-26_13-06-23_1057221\postProcessing.png","plot")</f>
        <v/>
      </c>
      <c r="W174">
        <f>HYPERLINK("c:\users\omer\rl-qecc-data\2026-07-26_13-06-23_1057221\experiment.txt","experiment.txt")</f>
        <v/>
      </c>
    </row>
    <row r="175">
      <c r="H175" t="inlineStr">
        <is>
          <t>c:/users/omer/rl-qecc-data/2026-07-26_13-06-23_615504</t>
        </is>
      </c>
      <c r="I175" t="n">
        <v>34740655</v>
      </c>
      <c r="J175" t="inlineStr">
        <is>
          <t>6,6</t>
        </is>
      </c>
      <c r="K175" t="n">
        <v>1</v>
      </c>
      <c r="M175" t="inlineStr">
        <is>
          <t>hybrid</t>
        </is>
      </c>
      <c r="N175" t="inlineStr">
        <is>
          <t>Yes</t>
        </is>
      </c>
      <c r="O175" t="n">
        <v>0.1</v>
      </c>
      <c r="P175" t="n">
        <v>20</v>
      </c>
      <c r="Q175" t="inlineStr">
        <is>
          <t>2026-07-12_20-18-32/surrogate_6x6.pth</t>
        </is>
      </c>
      <c r="R175" t="n">
        <v>0.5</v>
      </c>
      <c r="S175" t="inlineStr">
        <is>
          <t>Done</t>
        </is>
      </c>
      <c r="V175">
        <f>HYPERLINK("c:\users\omer\rl-qecc-data\2026-07-26_13-06-23_615504\postProcessing.png","plot")</f>
        <v/>
      </c>
      <c r="W175">
        <f>HYPERLINK("c:\users\omer\rl-qecc-data\2026-07-26_13-06-23_615504\experiment.txt","experiment.txt")</f>
        <v/>
      </c>
    </row>
    <row r="176">
      <c r="H176" t="inlineStr">
        <is>
          <t>c:/users/omer/rl-qecc-data/2026-07-26_13-06-36_4085276</t>
        </is>
      </c>
      <c r="I176" t="n">
        <v>34724818</v>
      </c>
      <c r="J176" t="inlineStr">
        <is>
          <t>6,6</t>
        </is>
      </c>
      <c r="K176" t="n">
        <v>1</v>
      </c>
      <c r="M176" t="inlineStr">
        <is>
          <t>hybrid</t>
        </is>
      </c>
      <c r="N176" t="inlineStr">
        <is>
          <t>Yes</t>
        </is>
      </c>
      <c r="O176" t="n">
        <v>0.1</v>
      </c>
      <c r="P176" t="n">
        <v>20</v>
      </c>
      <c r="Q176" t="inlineStr">
        <is>
          <t>2026-07-12_20-18-32/surrogate_6x6.pth</t>
        </is>
      </c>
      <c r="R176" t="n">
        <v>0.5</v>
      </c>
      <c r="S176" t="inlineStr">
        <is>
          <t>Done</t>
        </is>
      </c>
      <c r="V176">
        <f>HYPERLINK("c:\users\omer\rl-qecc-data\2026-07-26_13-06-36_4085276\postProcessing.png","plot")</f>
        <v/>
      </c>
      <c r="W176">
        <f>HYPERLINK("c:\users\omer\rl-qecc-data\2026-07-26_13-06-36_4085276\experiment.txt","experiment.txt")</f>
        <v/>
      </c>
    </row>
    <row r="177">
      <c r="H177" t="inlineStr">
        <is>
          <t>c:/users/omer/rl-qecc-data/2026-07-26_13-29-16_898255</t>
        </is>
      </c>
      <c r="I177" t="n">
        <v>65312321</v>
      </c>
      <c r="J177" t="inlineStr">
        <is>
          <t>12,6</t>
        </is>
      </c>
      <c r="K177" t="n">
        <v>1</v>
      </c>
      <c r="M177" t="inlineStr">
        <is>
          <t>hybrid</t>
        </is>
      </c>
      <c r="N177" t="inlineStr">
        <is>
          <t>Yes</t>
        </is>
      </c>
      <c r="O177" t="n">
        <v>0.1</v>
      </c>
      <c r="P177" t="n">
        <v>20</v>
      </c>
      <c r="Q177" t="inlineStr">
        <is>
          <t>2026-07-12_20-18-32/surrogate_6x6.pth</t>
        </is>
      </c>
      <c r="R177" t="n">
        <v>0.5</v>
      </c>
      <c r="S177" t="inlineStr">
        <is>
          <t>Done</t>
        </is>
      </c>
      <c r="V177">
        <f>HYPERLINK("c:\users\omer\rl-qecc-data\2026-07-26_13-29-16_898255\postProcessing.png","plot")</f>
        <v/>
      </c>
      <c r="W177">
        <f>HYPERLINK("c:\users\omer\rl-qecc-data\2026-07-26_13-29-16_898255\experiment.txt","experiment.txt")</f>
        <v/>
      </c>
    </row>
    <row r="178">
      <c r="H178" t="inlineStr">
        <is>
          <t>c:/users/omer/rl-qecc-data/2026-07-26_13-29-16_898256</t>
        </is>
      </c>
      <c r="I178" t="n">
        <v>54851638</v>
      </c>
      <c r="J178" t="inlineStr">
        <is>
          <t>9,6</t>
        </is>
      </c>
      <c r="K178" t="n">
        <v>1</v>
      </c>
      <c r="M178" t="inlineStr">
        <is>
          <t>hybrid</t>
        </is>
      </c>
      <c r="N178" t="inlineStr">
        <is>
          <t>Yes</t>
        </is>
      </c>
      <c r="O178" t="n">
        <v>0.1</v>
      </c>
      <c r="P178" t="n">
        <v>20</v>
      </c>
      <c r="Q178" t="inlineStr">
        <is>
          <t>2026-07-12_20-18-32/surrogate_6x6.pth</t>
        </is>
      </c>
      <c r="R178" t="n">
        <v>0.5</v>
      </c>
      <c r="S178" t="inlineStr">
        <is>
          <t>Done</t>
        </is>
      </c>
      <c r="V178">
        <f>HYPERLINK("c:\users\omer\rl-qecc-data\2026-07-26_13-29-16_898256\postProcessing.png","plot")</f>
        <v/>
      </c>
      <c r="W178">
        <f>HYPERLINK("c:\users\omer\rl-qecc-data\2026-07-26_13-29-16_898256\experiment.txt","experiment.txt")</f>
        <v/>
      </c>
    </row>
    <row r="179">
      <c r="H179" t="inlineStr">
        <is>
          <t>c:/users/omer/rl-qecc-data/2026-07-26_13-29-16_898308</t>
        </is>
      </c>
      <c r="I179" t="n">
        <v>25925907</v>
      </c>
      <c r="J179" t="inlineStr">
        <is>
          <t>15,3</t>
        </is>
      </c>
      <c r="K179" t="n">
        <v>1</v>
      </c>
      <c r="M179" t="inlineStr">
        <is>
          <t>hybrid</t>
        </is>
      </c>
      <c r="N179" t="inlineStr">
        <is>
          <t>Yes</t>
        </is>
      </c>
      <c r="O179" t="n">
        <v>0.1</v>
      </c>
      <c r="P179" t="n">
        <v>20</v>
      </c>
      <c r="Q179" t="inlineStr">
        <is>
          <t>2026-07-12_20-18-32/surrogate_6x6.pth</t>
        </is>
      </c>
      <c r="R179" t="n">
        <v>0.5</v>
      </c>
      <c r="S179" t="inlineStr">
        <is>
          <t>Done</t>
        </is>
      </c>
      <c r="V179">
        <f>HYPERLINK("c:\users\omer\rl-qecc-data\2026-07-26_13-29-16_898308\postProcessing.png","plot")</f>
        <v/>
      </c>
      <c r="W179">
        <f>HYPERLINK("c:\users\omer\rl-qecc-data\2026-07-26_13-29-16_898308\experiment.txt","experiment.txt")</f>
        <v/>
      </c>
    </row>
    <row r="180">
      <c r="H180" t="inlineStr">
        <is>
          <t>c:/users/omer/rl-qecc-data/2026-07-26_13-29-41_1731002</t>
        </is>
      </c>
      <c r="I180" t="n">
        <v>1841</v>
      </c>
      <c r="J180" t="inlineStr">
        <is>
          <t>15,3</t>
        </is>
      </c>
      <c r="K180" t="n">
        <v>1</v>
      </c>
      <c r="M180" t="inlineStr">
        <is>
          <t>hybrid</t>
        </is>
      </c>
      <c r="N180" t="inlineStr">
        <is>
          <t>Yes</t>
        </is>
      </c>
      <c r="O180" t="n">
        <v>0.1</v>
      </c>
      <c r="P180" t="n">
        <v>20</v>
      </c>
      <c r="Q180" t="inlineStr">
        <is>
          <t>2026-07-12_20-18-32/surrogate_6x6.pth</t>
        </is>
      </c>
      <c r="R180" t="n">
        <v>0.5</v>
      </c>
      <c r="S180" t="inlineStr">
        <is>
          <t>Done</t>
        </is>
      </c>
      <c r="V180">
        <f>HYPERLINK("c:\users\omer\rl-qecc-data\2026-07-26_13-29-41_1731002\postProcessing.png","plot")</f>
        <v/>
      </c>
      <c r="W180">
        <f>HYPERLINK("c:\users\omer\rl-qecc-data\2026-07-26_13-29-41_1731002\experiment.txt","experiment.txt")</f>
        <v/>
      </c>
    </row>
    <row r="181">
      <c r="H181" t="inlineStr">
        <is>
          <t>c:/users/omer/rl-qecc-data/2026-07-26_13-29-41_2491993</t>
        </is>
      </c>
      <c r="I181" t="n">
        <v>6856924</v>
      </c>
      <c r="J181" t="inlineStr">
        <is>
          <t>9,6</t>
        </is>
      </c>
      <c r="K181" t="n">
        <v>1</v>
      </c>
      <c r="M181" t="inlineStr">
        <is>
          <t>hybrid</t>
        </is>
      </c>
      <c r="N181" t="inlineStr">
        <is>
          <t>Yes</t>
        </is>
      </c>
      <c r="O181" t="n">
        <v>0.1</v>
      </c>
      <c r="P181" t="n">
        <v>20</v>
      </c>
      <c r="Q181" t="inlineStr">
        <is>
          <t>2026-07-12_20-18-32/surrogate_6x6.pth</t>
        </is>
      </c>
      <c r="R181" t="n">
        <v>0.5</v>
      </c>
      <c r="S181" t="inlineStr">
        <is>
          <t>Done</t>
        </is>
      </c>
      <c r="V181">
        <f>HYPERLINK("c:\users\omer\rl-qecc-data\2026-07-26_13-29-41_2491993\postProcessing.png","plot")</f>
        <v/>
      </c>
      <c r="W181">
        <f>HYPERLINK("c:\users\omer\rl-qecc-data\2026-07-26_13-29-41_2491993\experiment.txt","experiment.txt")</f>
        <v/>
      </c>
    </row>
    <row r="182">
      <c r="H182" t="inlineStr">
        <is>
          <t>c:/users/omer/rl-qecc-data/2026-07-26_13-29-41_2491994</t>
        </is>
      </c>
      <c r="I182" t="n">
        <v>84846464</v>
      </c>
      <c r="J182" t="inlineStr">
        <is>
          <t>12,6</t>
        </is>
      </c>
      <c r="K182" t="n">
        <v>1</v>
      </c>
      <c r="M182" t="inlineStr">
        <is>
          <t>hybrid</t>
        </is>
      </c>
      <c r="N182" t="inlineStr">
        <is>
          <t>Yes</t>
        </is>
      </c>
      <c r="O182" t="n">
        <v>0.1</v>
      </c>
      <c r="P182" t="n">
        <v>20</v>
      </c>
      <c r="Q182" t="inlineStr">
        <is>
          <t>2026-07-12_20-18-32/surrogate_6x6.pth</t>
        </is>
      </c>
      <c r="R182" t="n">
        <v>0.5</v>
      </c>
      <c r="S182" t="inlineStr">
        <is>
          <t>Done</t>
        </is>
      </c>
      <c r="V182">
        <f>HYPERLINK("c:\users\omer\rl-qecc-data\2026-07-26_13-29-41_2491994\postProcessing.png","plot")</f>
        <v/>
      </c>
      <c r="W182">
        <f>HYPERLINK("c:\users\omer\rl-qecc-data\2026-07-26_13-29-41_2491994\experiment.txt","experiment.txt")</f>
        <v/>
      </c>
    </row>
    <row r="183">
      <c r="H183" t="inlineStr">
        <is>
          <t>c:/users/omer/rl-qecc-data/2026-07-26_13-29-41_2492036</t>
        </is>
      </c>
      <c r="I183" t="n">
        <v>314159265</v>
      </c>
      <c r="J183" t="inlineStr">
        <is>
          <t>15,3</t>
        </is>
      </c>
      <c r="K183" t="n">
        <v>1</v>
      </c>
      <c r="M183" t="inlineStr">
        <is>
          <t>hybrid</t>
        </is>
      </c>
      <c r="N183" t="inlineStr">
        <is>
          <t>Yes</t>
        </is>
      </c>
      <c r="O183" t="n">
        <v>0.1</v>
      </c>
      <c r="P183" t="n">
        <v>20</v>
      </c>
      <c r="Q183" t="inlineStr">
        <is>
          <t>2026-07-12_20-18-32/surrogate_6x6.pth</t>
        </is>
      </c>
      <c r="R183" t="n">
        <v>0.5</v>
      </c>
      <c r="S183" t="inlineStr">
        <is>
          <t>Done</t>
        </is>
      </c>
      <c r="V183">
        <f>HYPERLINK("c:\users\omer\rl-qecc-data\2026-07-26_13-29-41_2492036\postProcessing.png","plot")</f>
        <v/>
      </c>
      <c r="W183">
        <f>HYPERLINK("c:\users\omer\rl-qecc-data\2026-07-26_13-29-41_2492036\experiment.txt","experiment.txt")</f>
        <v/>
      </c>
    </row>
    <row r="184">
      <c r="H184" t="inlineStr">
        <is>
          <t>c:/users/omer/rl-qecc-data/2026-07-26_13-29-41_2804477</t>
        </is>
      </c>
      <c r="I184" t="n">
        <v>4684157</v>
      </c>
      <c r="J184" t="inlineStr">
        <is>
          <t>12,6</t>
        </is>
      </c>
      <c r="K184" t="n">
        <v>1</v>
      </c>
      <c r="M184" t="inlineStr">
        <is>
          <t>hybrid</t>
        </is>
      </c>
      <c r="N184" t="inlineStr">
        <is>
          <t>Yes</t>
        </is>
      </c>
      <c r="O184" t="n">
        <v>0.1</v>
      </c>
      <c r="P184" t="n">
        <v>20</v>
      </c>
      <c r="Q184" t="inlineStr">
        <is>
          <t>2026-07-12_20-18-32/surrogate_6x6.pth</t>
        </is>
      </c>
      <c r="R184" t="n">
        <v>0.5</v>
      </c>
      <c r="S184" t="inlineStr">
        <is>
          <t>Done</t>
        </is>
      </c>
      <c r="V184">
        <f>HYPERLINK("c:\users\omer\rl-qecc-data\2026-07-26_13-29-41_2804477\postProcessing.png","plot")</f>
        <v/>
      </c>
      <c r="W184">
        <f>HYPERLINK("c:\users\omer\rl-qecc-data\2026-07-26_13-29-41_2804477\experiment.txt","experiment.txt")</f>
        <v/>
      </c>
    </row>
    <row r="185">
      <c r="H185" t="inlineStr">
        <is>
          <t>c:/users/omer/rl-qecc-data/2026-07-26_13-29-41_2804482</t>
        </is>
      </c>
      <c r="I185" t="n">
        <v>3256041463</v>
      </c>
      <c r="J185" t="inlineStr">
        <is>
          <t>9,6</t>
        </is>
      </c>
      <c r="K185" t="n">
        <v>1</v>
      </c>
      <c r="M185" t="inlineStr">
        <is>
          <t>hybrid</t>
        </is>
      </c>
      <c r="N185" t="inlineStr">
        <is>
          <t>Yes</t>
        </is>
      </c>
      <c r="O185" t="n">
        <v>0.1</v>
      </c>
      <c r="P185" t="n">
        <v>20</v>
      </c>
      <c r="Q185" t="inlineStr">
        <is>
          <t>2026-07-12_20-18-32/surrogate_6x6.pth</t>
        </is>
      </c>
      <c r="R185" t="n">
        <v>0.5</v>
      </c>
      <c r="S185" t="inlineStr">
        <is>
          <t>Done</t>
        </is>
      </c>
      <c r="V185">
        <f>HYPERLINK("c:\users\omer\rl-qecc-data\2026-07-26_13-29-41_2804482\postProcessing.png","plot")</f>
        <v/>
      </c>
      <c r="W185">
        <f>HYPERLINK("c:\users\omer\rl-qecc-data\2026-07-26_13-29-41_2804482\experiment.txt","experiment.txt")</f>
        <v/>
      </c>
    </row>
    <row r="186">
      <c r="H186" t="inlineStr">
        <is>
          <t>c:/users/omer/rl-qecc-data/2026-07-26_13-29-41_2804511</t>
        </is>
      </c>
      <c r="I186" t="n">
        <v>564184</v>
      </c>
      <c r="J186" t="inlineStr">
        <is>
          <t>15,3</t>
        </is>
      </c>
      <c r="K186" t="n">
        <v>1</v>
      </c>
      <c r="M186" t="inlineStr">
        <is>
          <t>hybrid</t>
        </is>
      </c>
      <c r="N186" t="inlineStr">
        <is>
          <t>Yes</t>
        </is>
      </c>
      <c r="O186" t="n">
        <v>0.1</v>
      </c>
      <c r="P186" t="n">
        <v>20</v>
      </c>
      <c r="Q186" t="inlineStr">
        <is>
          <t>2026-07-12_20-18-32/surrogate_6x6.pth</t>
        </is>
      </c>
      <c r="R186" t="n">
        <v>0.5</v>
      </c>
      <c r="S186" t="inlineStr">
        <is>
          <t>Done</t>
        </is>
      </c>
      <c r="V186">
        <f>HYPERLINK("c:\users\omer\rl-qecc-data\2026-07-26_13-29-41_2804511\postProcessing.png","plot")</f>
        <v/>
      </c>
      <c r="W186">
        <f>HYPERLINK("c:\users\omer\rl-qecc-data\2026-07-26_13-29-41_2804511\experiment.txt","experiment.txt")</f>
        <v/>
      </c>
    </row>
    <row r="187">
      <c r="H187" t="inlineStr">
        <is>
          <t>c:/users/omer/rl-qecc-data/2026-07-26_13-29-41_3561444</t>
        </is>
      </c>
      <c r="I187" t="n">
        <v>55376</v>
      </c>
      <c r="J187" t="inlineStr">
        <is>
          <t>12,6</t>
        </is>
      </c>
      <c r="K187" t="n">
        <v>1</v>
      </c>
      <c r="M187" t="inlineStr">
        <is>
          <t>hybrid</t>
        </is>
      </c>
      <c r="N187" t="inlineStr">
        <is>
          <t>Yes</t>
        </is>
      </c>
      <c r="O187" t="n">
        <v>0.1</v>
      </c>
      <c r="P187" t="n">
        <v>20</v>
      </c>
      <c r="Q187" t="inlineStr">
        <is>
          <t>2026-07-12_20-18-32/surrogate_6x6.pth</t>
        </is>
      </c>
      <c r="R187" t="n">
        <v>0.5</v>
      </c>
      <c r="S187" t="inlineStr">
        <is>
          <t>Done</t>
        </is>
      </c>
      <c r="V187">
        <f>HYPERLINK("c:\users\omer\rl-qecc-data\2026-07-26_13-29-41_3561444\postProcessing.png","plot")</f>
        <v/>
      </c>
      <c r="W187">
        <f>HYPERLINK("c:\users\omer\rl-qecc-data\2026-07-26_13-29-41_3561444\experiment.txt","experiment.txt")</f>
        <v/>
      </c>
    </row>
    <row r="188">
      <c r="H188" t="inlineStr">
        <is>
          <t>c:/users/omer/rl-qecc-data/2026-07-26_13-29-41_3561445</t>
        </is>
      </c>
      <c r="I188" t="n">
        <v>64352663</v>
      </c>
      <c r="J188" t="inlineStr">
        <is>
          <t>9,6</t>
        </is>
      </c>
      <c r="K188" t="n">
        <v>1</v>
      </c>
      <c r="M188" t="inlineStr">
        <is>
          <t>hybrid</t>
        </is>
      </c>
      <c r="N188" t="inlineStr">
        <is>
          <t>Yes</t>
        </is>
      </c>
      <c r="O188" t="n">
        <v>0.1</v>
      </c>
      <c r="P188" t="n">
        <v>20</v>
      </c>
      <c r="Q188" t="inlineStr">
        <is>
          <t>2026-07-12_20-18-32/surrogate_6x6.pth</t>
        </is>
      </c>
      <c r="R188" t="n">
        <v>0.5</v>
      </c>
      <c r="S188" t="inlineStr">
        <is>
          <t>Done</t>
        </is>
      </c>
      <c r="V188">
        <f>HYPERLINK("c:\users\omer\rl-qecc-data\2026-07-26_13-29-41_3561445\postProcessing.png","plot")</f>
        <v/>
      </c>
      <c r="W188">
        <f>HYPERLINK("c:\users\omer\rl-qecc-data\2026-07-26_13-29-41_3561445\experiment.txt","experiment.txt")</f>
        <v/>
      </c>
    </row>
    <row r="189">
      <c r="H189" t="inlineStr">
        <is>
          <t>c:/users/omer/rl-qecc-data/2026-07-26_13-29-41_3561477</t>
        </is>
      </c>
      <c r="I189" t="n">
        <v>6553</v>
      </c>
      <c r="J189" t="inlineStr">
        <is>
          <t>15,3</t>
        </is>
      </c>
      <c r="K189" t="n">
        <v>1</v>
      </c>
      <c r="M189" t="inlineStr">
        <is>
          <t>hybrid</t>
        </is>
      </c>
      <c r="N189" t="inlineStr">
        <is>
          <t>Yes</t>
        </is>
      </c>
      <c r="O189" t="n">
        <v>0.1</v>
      </c>
      <c r="P189" t="n">
        <v>20</v>
      </c>
      <c r="Q189" t="inlineStr">
        <is>
          <t>2026-07-12_20-18-32/surrogate_6x6.pth</t>
        </is>
      </c>
      <c r="R189" t="n">
        <v>0.5</v>
      </c>
      <c r="S189" t="inlineStr">
        <is>
          <t>Done</t>
        </is>
      </c>
      <c r="V189">
        <f>HYPERLINK("c:\users\omer\rl-qecc-data\2026-07-26_13-29-41_3561477\postProcessing.png","plot")</f>
        <v/>
      </c>
      <c r="W189">
        <f>HYPERLINK("c:\users\omer\rl-qecc-data\2026-07-26_13-29-41_3561477\experiment.txt","experiment.txt")</f>
        <v/>
      </c>
    </row>
    <row r="190">
      <c r="H190" t="inlineStr">
        <is>
          <t>c:/users/omer/rl-qecc-data/2026-07-26_13-30-13_2493425</t>
        </is>
      </c>
      <c r="I190" t="n">
        <v>4</v>
      </c>
      <c r="J190" t="inlineStr">
        <is>
          <t>9,6</t>
        </is>
      </c>
      <c r="K190" t="n">
        <v>1</v>
      </c>
      <c r="M190" t="inlineStr">
        <is>
          <t>hybrid</t>
        </is>
      </c>
      <c r="N190" t="inlineStr">
        <is>
          <t>Yes</t>
        </is>
      </c>
      <c r="O190" t="n">
        <v>0.1</v>
      </c>
      <c r="P190" t="n">
        <v>20</v>
      </c>
      <c r="Q190" t="inlineStr">
        <is>
          <t>2026-07-12_20-18-32/surrogate_6x6.pth</t>
        </is>
      </c>
      <c r="R190" t="n">
        <v>0.5</v>
      </c>
      <c r="S190" t="inlineStr">
        <is>
          <t>Done</t>
        </is>
      </c>
      <c r="V190">
        <f>HYPERLINK("c:\users\omer\rl-qecc-data\2026-07-26_13-30-13_2493425\postProcessing.png","plot")</f>
        <v/>
      </c>
      <c r="W190">
        <f>HYPERLINK("c:\users\omer\rl-qecc-data\2026-07-26_13-30-13_2493425\experiment.txt","experiment.txt")</f>
        <v/>
      </c>
    </row>
    <row r="191">
      <c r="H191" t="inlineStr">
        <is>
          <t>c:/users/omer/rl-qecc-data/2026-07-26_13-30-13_3488014</t>
        </is>
      </c>
      <c r="I191" t="n">
        <v>546564</v>
      </c>
      <c r="J191" t="inlineStr">
        <is>
          <t>9,6</t>
        </is>
      </c>
      <c r="K191" t="n">
        <v>1</v>
      </c>
      <c r="M191" t="inlineStr">
        <is>
          <t>hybrid</t>
        </is>
      </c>
      <c r="N191" t="inlineStr">
        <is>
          <t>Yes</t>
        </is>
      </c>
      <c r="O191" t="n">
        <v>0.1</v>
      </c>
      <c r="P191" t="n">
        <v>20</v>
      </c>
      <c r="Q191" t="inlineStr">
        <is>
          <t>2026-07-12_20-18-32/surrogate_6x6.pth</t>
        </is>
      </c>
      <c r="R191" t="n">
        <v>0.5</v>
      </c>
      <c r="S191" t="inlineStr">
        <is>
          <t>Done</t>
        </is>
      </c>
      <c r="V191">
        <f>HYPERLINK("c:\users\omer\rl-qecc-data\2026-07-26_13-30-13_3488014\postProcessing.png","plot")</f>
        <v/>
      </c>
      <c r="W191">
        <f>HYPERLINK("c:\users\omer\rl-qecc-data\2026-07-26_13-30-13_3488014\experiment.txt","experiment.txt")</f>
        <v/>
      </c>
    </row>
    <row r="192">
      <c r="H192" t="inlineStr">
        <is>
          <t>c:/users/omer/rl-qecc-data/2026-07-26_13-30-13_608744</t>
        </is>
      </c>
      <c r="I192" t="n">
        <v>468</v>
      </c>
      <c r="J192" t="inlineStr">
        <is>
          <t>12,6</t>
        </is>
      </c>
      <c r="K192" t="n">
        <v>1</v>
      </c>
      <c r="M192" t="inlineStr">
        <is>
          <t>hybrid</t>
        </is>
      </c>
      <c r="N192" t="inlineStr">
        <is>
          <t>Yes</t>
        </is>
      </c>
      <c r="O192" t="n">
        <v>0.1</v>
      </c>
      <c r="P192" t="n">
        <v>20</v>
      </c>
      <c r="Q192" t="inlineStr">
        <is>
          <t>2026-07-12_20-18-32/surrogate_6x6.pth</t>
        </is>
      </c>
      <c r="R192" t="n">
        <v>0.5</v>
      </c>
      <c r="S192" t="inlineStr">
        <is>
          <t>Done</t>
        </is>
      </c>
      <c r="V192">
        <f>HYPERLINK("c:\users\omer\rl-qecc-data\2026-07-26_13-30-13_608744\postProcessing.png","plot")</f>
        <v/>
      </c>
      <c r="W192">
        <f>HYPERLINK("c:\users\omer\rl-qecc-data\2026-07-26_13-30-13_608744\experiment.txt","experiment.txt")</f>
        <v/>
      </c>
    </row>
    <row r="193">
      <c r="H193" t="inlineStr">
        <is>
          <t>c:/users/omer/rl-qecc-data/2026-07-26_13-30-31_2806171</t>
        </is>
      </c>
      <c r="I193" t="n">
        <v>3463475368</v>
      </c>
      <c r="J193" t="inlineStr">
        <is>
          <t>9,6</t>
        </is>
      </c>
      <c r="K193" t="n">
        <v>1</v>
      </c>
      <c r="M193" t="inlineStr">
        <is>
          <t>hybrid</t>
        </is>
      </c>
      <c r="N193" t="inlineStr">
        <is>
          <t>Yes</t>
        </is>
      </c>
      <c r="O193" t="n">
        <v>0.1</v>
      </c>
      <c r="P193" t="n">
        <v>20</v>
      </c>
      <c r="Q193" t="inlineStr">
        <is>
          <t>2026-07-12_20-18-32/surrogate_6x6.pth</t>
        </is>
      </c>
      <c r="R193" t="n">
        <v>0.5</v>
      </c>
      <c r="S193" t="inlineStr">
        <is>
          <t>Done</t>
        </is>
      </c>
      <c r="V193">
        <f>HYPERLINK("c:\users\omer\rl-qecc-data\2026-07-26_13-30-31_2806171\postProcessing.png","plot")</f>
        <v/>
      </c>
      <c r="W193">
        <f>HYPERLINK("c:\users\omer\rl-qecc-data\2026-07-26_13-30-31_2806171\experiment.txt","experiment.txt")</f>
        <v/>
      </c>
    </row>
    <row r="194">
      <c r="H194" t="inlineStr">
        <is>
          <t>c:/users/omer/rl-qecc-data/2026-07-26_13-30-31_3563137</t>
        </is>
      </c>
      <c r="I194" t="n">
        <v>10100101</v>
      </c>
      <c r="J194" t="inlineStr">
        <is>
          <t>9,6</t>
        </is>
      </c>
      <c r="K194" t="n">
        <v>1</v>
      </c>
      <c r="M194" t="inlineStr">
        <is>
          <t>hybrid</t>
        </is>
      </c>
      <c r="N194" t="inlineStr">
        <is>
          <t>Yes</t>
        </is>
      </c>
      <c r="O194" t="n">
        <v>0.1</v>
      </c>
      <c r="P194" t="n">
        <v>20</v>
      </c>
      <c r="Q194" t="inlineStr">
        <is>
          <t>2026-07-12_20-18-32/surrogate_6x6.pth</t>
        </is>
      </c>
      <c r="R194" t="n">
        <v>0.5</v>
      </c>
      <c r="S194" t="inlineStr">
        <is>
          <t>Done</t>
        </is>
      </c>
      <c r="V194">
        <f>HYPERLINK("c:\users\omer\rl-qecc-data\2026-07-26_13-30-31_3563137\postProcessing.png","plot")</f>
        <v/>
      </c>
      <c r="W194">
        <f>HYPERLINK("c:\users\omer\rl-qecc-data\2026-07-26_13-30-31_3563137\experiment.txt","experiment.txt")</f>
        <v/>
      </c>
    </row>
    <row r="195">
      <c r="H195" t="inlineStr">
        <is>
          <t>c:/users/omer/rl-qecc-data/2026-07-26_13-30-38_2806614</t>
        </is>
      </c>
      <c r="I195" t="n">
        <v>478</v>
      </c>
      <c r="J195" t="inlineStr">
        <is>
          <t>12,6</t>
        </is>
      </c>
      <c r="K195" t="n">
        <v>1</v>
      </c>
      <c r="M195" t="inlineStr">
        <is>
          <t>hybrid</t>
        </is>
      </c>
      <c r="N195" t="inlineStr">
        <is>
          <t>Yes</t>
        </is>
      </c>
      <c r="O195" t="n">
        <v>0.1</v>
      </c>
      <c r="P195" t="n">
        <v>20</v>
      </c>
      <c r="Q195" t="inlineStr">
        <is>
          <t>2026-07-12_20-18-32/surrogate_6x6.pth</t>
        </is>
      </c>
      <c r="R195" t="n">
        <v>0.5</v>
      </c>
      <c r="S195" t="inlineStr">
        <is>
          <t>Done</t>
        </is>
      </c>
      <c r="V195">
        <f>HYPERLINK("c:\users\omer\rl-qecc-data\2026-07-26_13-30-38_2806614\postProcessing.png","plot")</f>
        <v/>
      </c>
      <c r="W195">
        <f>HYPERLINK("c:\users\omer\rl-qecc-data\2026-07-26_13-30-38_2806614\experiment.txt","experiment.txt")</f>
        <v/>
      </c>
    </row>
    <row r="196">
      <c r="H196" t="inlineStr">
        <is>
          <t>c:/users/omer/rl-qecc-data/2026-07-26_13-30-38_2806615</t>
        </is>
      </c>
      <c r="I196" t="n">
        <v>1785812914</v>
      </c>
      <c r="J196" t="inlineStr">
        <is>
          <t>15,3</t>
        </is>
      </c>
      <c r="K196" t="n">
        <v>1</v>
      </c>
      <c r="M196" t="inlineStr">
        <is>
          <t>hybrid</t>
        </is>
      </c>
      <c r="N196" t="inlineStr">
        <is>
          <t>Yes</t>
        </is>
      </c>
      <c r="O196" t="n">
        <v>0.1</v>
      </c>
      <c r="P196" t="n">
        <v>20</v>
      </c>
      <c r="Q196" t="inlineStr">
        <is>
          <t>2026-07-12_20-18-32/surrogate_6x6.pth</t>
        </is>
      </c>
      <c r="R196" t="n">
        <v>0.5</v>
      </c>
      <c r="S196" t="inlineStr">
        <is>
          <t>Done</t>
        </is>
      </c>
      <c r="V196">
        <f>HYPERLINK("c:\users\omer\rl-qecc-data\2026-07-26_13-30-38_2806615\postProcessing.png","plot")</f>
        <v/>
      </c>
      <c r="W196">
        <f>HYPERLINK("c:\users\omer\rl-qecc-data\2026-07-26_13-30-38_2806615\experiment.txt","experiment.txt")</f>
        <v/>
      </c>
    </row>
    <row r="197">
      <c r="H197" t="inlineStr">
        <is>
          <t>c:/users/omer/rl-qecc-data/2026-07-26_13-30-38_3563526</t>
        </is>
      </c>
      <c r="I197" t="n">
        <v>303030</v>
      </c>
      <c r="J197" t="inlineStr">
        <is>
          <t>15,3</t>
        </is>
      </c>
      <c r="K197" t="n">
        <v>1</v>
      </c>
      <c r="M197" t="inlineStr">
        <is>
          <t>hybrid</t>
        </is>
      </c>
      <c r="N197" t="inlineStr">
        <is>
          <t>Yes</t>
        </is>
      </c>
      <c r="O197" t="n">
        <v>0.1</v>
      </c>
      <c r="P197" t="n">
        <v>20</v>
      </c>
      <c r="Q197" t="inlineStr">
        <is>
          <t>2026-07-12_20-18-32/surrogate_6x6.pth</t>
        </is>
      </c>
      <c r="R197" t="n">
        <v>0.5</v>
      </c>
      <c r="S197" t="inlineStr">
        <is>
          <t>Done</t>
        </is>
      </c>
      <c r="V197">
        <f>HYPERLINK("c:\users\omer\rl-qecc-data\2026-07-26_13-30-38_3563526\postProcessing.png","plot")</f>
        <v/>
      </c>
      <c r="W197">
        <f>HYPERLINK("c:\users\omer\rl-qecc-data\2026-07-26_13-30-38_3563526\experiment.txt","experiment.txt")</f>
        <v/>
      </c>
    </row>
    <row r="198">
      <c r="H198" t="inlineStr">
        <is>
          <t>c:/users/omer/rl-qecc-data/2026-07-26_13-30-38_3563527</t>
        </is>
      </c>
      <c r="I198" t="n">
        <v>202020</v>
      </c>
      <c r="J198" t="inlineStr">
        <is>
          <t>12,6</t>
        </is>
      </c>
      <c r="K198" t="n">
        <v>1</v>
      </c>
      <c r="M198" t="inlineStr">
        <is>
          <t>hybrid</t>
        </is>
      </c>
      <c r="N198" t="inlineStr">
        <is>
          <t>Yes</t>
        </is>
      </c>
      <c r="O198" t="n">
        <v>0.1</v>
      </c>
      <c r="P198" t="n">
        <v>20</v>
      </c>
      <c r="Q198" t="inlineStr">
        <is>
          <t>2026-07-12_20-18-32/surrogate_6x6.pth</t>
        </is>
      </c>
      <c r="R198" t="n">
        <v>0.5</v>
      </c>
      <c r="S198" t="inlineStr">
        <is>
          <t>Done</t>
        </is>
      </c>
      <c r="V198">
        <f>HYPERLINK("c:\users\omer\rl-qecc-data\2026-07-26_13-30-38_3563527\postProcessing.png","plot")</f>
        <v/>
      </c>
      <c r="W198">
        <f>HYPERLINK("c:\users\omer\rl-qecc-data\2026-07-26_13-30-38_3563527\experiment.txt","experiment.txt")</f>
        <v/>
      </c>
    </row>
    <row r="199">
      <c r="H199" t="inlineStr">
        <is>
          <t>c:/users/omer/rl-qecc-data/2026-07-26_13-30-39_2493943</t>
        </is>
      </c>
      <c r="I199" t="n">
        <v>5</v>
      </c>
      <c r="J199" t="inlineStr">
        <is>
          <t>12,6</t>
        </is>
      </c>
      <c r="K199" t="n">
        <v>1</v>
      </c>
      <c r="M199" t="inlineStr">
        <is>
          <t>hybrid</t>
        </is>
      </c>
      <c r="N199" t="inlineStr">
        <is>
          <t>Yes</t>
        </is>
      </c>
      <c r="O199" t="n">
        <v>0.1</v>
      </c>
      <c r="P199" t="n">
        <v>20</v>
      </c>
      <c r="Q199" t="inlineStr">
        <is>
          <t>2026-07-12_20-18-32/surrogate_6x6.pth</t>
        </is>
      </c>
      <c r="R199" t="n">
        <v>0.5</v>
      </c>
      <c r="S199" t="inlineStr">
        <is>
          <t>Done</t>
        </is>
      </c>
      <c r="V199">
        <f>HYPERLINK("c:\users\omer\rl-qecc-data\2026-07-26_13-30-39_2493943\postProcessing.png","plot")</f>
        <v/>
      </c>
      <c r="W199">
        <f>HYPERLINK("c:\users\omer\rl-qecc-data\2026-07-26_13-30-39_2493943\experiment.txt","experiment.txt")</f>
        <v/>
      </c>
    </row>
    <row r="200">
      <c r="H200" t="inlineStr">
        <is>
          <t>c:/users/omer/rl-qecc-data/2026-07-26_13-31-06_2494245</t>
        </is>
      </c>
      <c r="I200" t="n">
        <v>6</v>
      </c>
      <c r="J200" t="inlineStr">
        <is>
          <t>15,3</t>
        </is>
      </c>
      <c r="K200" t="n">
        <v>1</v>
      </c>
      <c r="M200" t="inlineStr">
        <is>
          <t>hybrid</t>
        </is>
      </c>
      <c r="N200" t="inlineStr">
        <is>
          <t>Yes</t>
        </is>
      </c>
      <c r="O200" t="n">
        <v>0.1</v>
      </c>
      <c r="P200" t="n">
        <v>20</v>
      </c>
      <c r="Q200" t="inlineStr">
        <is>
          <t>2026-07-12_20-18-32/surrogate_6x6.pth</t>
        </is>
      </c>
      <c r="R200" t="n">
        <v>0.5</v>
      </c>
      <c r="S200" t="inlineStr">
        <is>
          <t>Done</t>
        </is>
      </c>
      <c r="V200">
        <f>HYPERLINK("c:\users\omer\rl-qecc-data\2026-07-26_13-31-06_2494245\postProcessing.png","plot")</f>
        <v/>
      </c>
      <c r="W200">
        <f>HYPERLINK("c:\users\omer\rl-qecc-data\2026-07-26_13-31-06_2494245\experiment.txt","experiment.txt")</f>
        <v/>
      </c>
    </row>
    <row r="201">
      <c r="H201" t="inlineStr">
        <is>
          <t>c:/users/omer/rl-qecc-data/2026-07-26_20-36-07_1077617</t>
        </is>
      </c>
      <c r="I201" t="n">
        <v>34883196</v>
      </c>
      <c r="J201" t="inlineStr">
        <is>
          <t>3,27</t>
        </is>
      </c>
      <c r="K201" t="n">
        <v>1</v>
      </c>
      <c r="M201" t="inlineStr">
        <is>
          <t>hybrid</t>
        </is>
      </c>
      <c r="N201" t="inlineStr">
        <is>
          <t>Yes</t>
        </is>
      </c>
      <c r="O201" t="n">
        <v>0.1</v>
      </c>
      <c r="P201" t="n">
        <v>20</v>
      </c>
      <c r="Q201" t="inlineStr">
        <is>
          <t>2026-07-12_20-18-32/surrogate_6x6.pth</t>
        </is>
      </c>
      <c r="R201" t="n">
        <v>0.5</v>
      </c>
      <c r="S201" t="inlineStr">
        <is>
          <t>Done</t>
        </is>
      </c>
      <c r="V201">
        <f>HYPERLINK("c:\users\omer\rl-qecc-data\2026-07-26_20-36-07_1077617\postProcessing.png","plot")</f>
        <v/>
      </c>
      <c r="W201">
        <f>HYPERLINK("c:\users\omer\rl-qecc-data\2026-07-26_20-36-07_1077617\experiment.txt","experiment.txt")</f>
        <v/>
      </c>
    </row>
    <row r="202">
      <c r="H202" t="inlineStr">
        <is>
          <t>c:/users/omer/rl-qecc-data/2026-07-26_20-36-07_636968</t>
        </is>
      </c>
      <c r="I202" t="n">
        <v>34891116</v>
      </c>
      <c r="J202" t="inlineStr">
        <is>
          <t>5,15</t>
        </is>
      </c>
      <c r="K202" t="n">
        <v>1</v>
      </c>
      <c r="M202" t="inlineStr">
        <is>
          <t>hybrid</t>
        </is>
      </c>
      <c r="N202" t="inlineStr">
        <is>
          <t>Yes</t>
        </is>
      </c>
      <c r="O202" t="n">
        <v>0.1</v>
      </c>
      <c r="P202" t="n">
        <v>20</v>
      </c>
      <c r="Q202" t="inlineStr">
        <is>
          <t>2026-07-12_20-18-32/surrogate_6x6.pth</t>
        </is>
      </c>
      <c r="R202" t="n">
        <v>0.5</v>
      </c>
      <c r="S202" t="inlineStr">
        <is>
          <t>Done</t>
        </is>
      </c>
      <c r="V202">
        <f>HYPERLINK("c:\users\omer\rl-qecc-data\2026-07-26_20-36-07_636968\postProcessing.png","plot")</f>
        <v/>
      </c>
      <c r="W202">
        <f>HYPERLINK("c:\users\omer\rl-qecc-data\2026-07-26_20-36-07_636968\experiment.txt","experiment.txt")</f>
        <v/>
      </c>
    </row>
    <row r="203">
      <c r="H203" t="inlineStr">
        <is>
          <t>c:/users/omer/rl-qecc-data/2026-07-26_20-36-08_4106178</t>
        </is>
      </c>
      <c r="I203" t="n">
        <v>34875279</v>
      </c>
      <c r="J203" t="inlineStr">
        <is>
          <t>3,27</t>
        </is>
      </c>
      <c r="K203" t="n">
        <v>1</v>
      </c>
      <c r="M203" t="inlineStr">
        <is>
          <t>hybrid</t>
        </is>
      </c>
      <c r="N203" t="inlineStr">
        <is>
          <t>Yes</t>
        </is>
      </c>
      <c r="O203" t="n">
        <v>0.1</v>
      </c>
      <c r="P203" t="n">
        <v>20</v>
      </c>
      <c r="Q203" t="inlineStr">
        <is>
          <t>2026-07-12_20-18-32/surrogate_6x6.pth</t>
        </is>
      </c>
      <c r="R203" t="n">
        <v>0.5</v>
      </c>
      <c r="S203" t="inlineStr">
        <is>
          <t>Done</t>
        </is>
      </c>
      <c r="V203">
        <f>HYPERLINK("c:\users\omer\rl-qecc-data\2026-07-26_20-36-08_4106178\postProcessing.png","plot")</f>
        <v/>
      </c>
      <c r="W203">
        <f>HYPERLINK("c:\users\omer\rl-qecc-data\2026-07-26_20-36-08_4106178\experiment.txt","experiment.txt")</f>
        <v/>
      </c>
    </row>
    <row r="204">
      <c r="H204" t="inlineStr">
        <is>
          <t>c:/users/omer/rl-qecc-data/2026-07-27_21-48-42_1172807</t>
        </is>
      </c>
      <c r="I204" t="n">
        <v>3141592</v>
      </c>
      <c r="J204" t="inlineStr">
        <is>
          <t>9,6</t>
        </is>
      </c>
      <c r="K204" t="n">
        <v>8</v>
      </c>
      <c r="M204" t="inlineStr">
        <is>
          <t>hybrid</t>
        </is>
      </c>
      <c r="N204" t="inlineStr">
        <is>
          <t>Yes</t>
        </is>
      </c>
      <c r="O204" t="n">
        <v>0.1</v>
      </c>
      <c r="P204" t="n">
        <v>10</v>
      </c>
      <c r="Q204" t="inlineStr">
        <is>
          <t>2026-07-12_20-18-32/surrogate_6x6.pth</t>
        </is>
      </c>
      <c r="R204" t="n">
        <v>0.003</v>
      </c>
      <c r="S204" t="inlineStr">
        <is>
          <t>Done</t>
        </is>
      </c>
      <c r="V204">
        <f>HYPERLINK("c:\users\omer\rl-qecc-data\2026-07-27_21-48-42_1172807\postProcessing.png","plot")</f>
        <v/>
      </c>
      <c r="W204">
        <f>HYPERLINK("c:\users\omer\rl-qecc-data\2026-07-27_21-48-42_1172807\search_9_6_seed_3141592_experiment.txt","experiment.txt")</f>
        <v/>
      </c>
    </row>
    <row r="205">
      <c r="H205" t="inlineStr">
        <is>
          <t>c:/users/omer/rl-qecc-data/2026-07-27_21-48-42_1172833</t>
        </is>
      </c>
      <c r="I205" t="n">
        <v>2718281</v>
      </c>
      <c r="J205" t="inlineStr">
        <is>
          <t>9,6</t>
        </is>
      </c>
      <c r="K205" t="n">
        <v>8</v>
      </c>
      <c r="M205" t="inlineStr">
        <is>
          <t>hybrid</t>
        </is>
      </c>
      <c r="N205" t="inlineStr">
        <is>
          <t>Yes</t>
        </is>
      </c>
      <c r="O205" t="n">
        <v>0.1</v>
      </c>
      <c r="P205" t="n">
        <v>10</v>
      </c>
      <c r="Q205" t="inlineStr">
        <is>
          <t>2026-07-12_20-18-32/surrogate_6x6.pth</t>
        </is>
      </c>
      <c r="R205" t="n">
        <v>0.003</v>
      </c>
      <c r="S205" t="inlineStr">
        <is>
          <t>Done</t>
        </is>
      </c>
      <c r="V205">
        <f>HYPERLINK("c:\users\omer\rl-qecc-data\2026-07-27_21-48-42_1172833\postProcessing.png","plot")</f>
        <v/>
      </c>
      <c r="W205">
        <f>HYPERLINK("c:\users\omer\rl-qecc-data\2026-07-27_21-48-42_1172833\search_9_6_seed_2718281_experiment.txt","experiment.txt")</f>
        <v/>
      </c>
    </row>
    <row r="206">
      <c r="H206" t="inlineStr">
        <is>
          <t>c:/users/omer/rl-qecc-data/2026-07-27_21-48-42_1172859</t>
        </is>
      </c>
      <c r="I206" t="n">
        <v>1618033</v>
      </c>
      <c r="J206" t="inlineStr">
        <is>
          <t>9,6</t>
        </is>
      </c>
      <c r="K206" t="n">
        <v>8</v>
      </c>
      <c r="M206" t="inlineStr">
        <is>
          <t>hybrid</t>
        </is>
      </c>
      <c r="N206" t="inlineStr">
        <is>
          <t>Yes</t>
        </is>
      </c>
      <c r="O206" t="n">
        <v>0.1</v>
      </c>
      <c r="P206" t="n">
        <v>10</v>
      </c>
      <c r="Q206" t="inlineStr">
        <is>
          <t>2026-07-12_20-18-32/surrogate_6x6.pth</t>
        </is>
      </c>
      <c r="R206" t="n">
        <v>0.003</v>
      </c>
      <c r="S206" t="inlineStr">
        <is>
          <t>Done</t>
        </is>
      </c>
      <c r="V206">
        <f>HYPERLINK("c:\users\omer\rl-qecc-data\2026-07-27_21-48-42_1172859\postProcessing.png","plot")</f>
        <v/>
      </c>
      <c r="W206">
        <f>HYPERLINK("c:\users\omer\rl-qecc-data\2026-07-27_21-48-42_1172859\search_9_6_seed_1618033_experiment.txt","experiment.txt")</f>
        <v/>
      </c>
    </row>
    <row r="207">
      <c r="H207" t="inlineStr">
        <is>
          <t>c:/users/omer/rl-qecc-data/2026-07-27_21-48-44_1172885</t>
        </is>
      </c>
      <c r="I207" t="n">
        <v>1414213</v>
      </c>
      <c r="J207" t="inlineStr">
        <is>
          <t>9,6</t>
        </is>
      </c>
      <c r="K207" t="n">
        <v>8</v>
      </c>
      <c r="M207" t="inlineStr">
        <is>
          <t>hybrid</t>
        </is>
      </c>
      <c r="N207" t="inlineStr">
        <is>
          <t>Yes</t>
        </is>
      </c>
      <c r="O207" t="n">
        <v>0.1</v>
      </c>
      <c r="P207" t="n">
        <v>10</v>
      </c>
      <c r="Q207" t="inlineStr">
        <is>
          <t>2026-07-12_20-18-32/surrogate_6x6.pth</t>
        </is>
      </c>
      <c r="R207" t="n">
        <v>0.003</v>
      </c>
      <c r="S207" t="inlineStr">
        <is>
          <t>Done</t>
        </is>
      </c>
      <c r="V207">
        <f>HYPERLINK("c:\users\omer\rl-qecc-data\2026-07-27_21-48-44_1172885\postProcessing.png","plot")</f>
        <v/>
      </c>
      <c r="W207">
        <f>HYPERLINK("c:\users\omer\rl-qecc-data\2026-07-27_21-48-44_1172885\search_9_6_seed_1414213_experiment.txt","experiment.txt")</f>
        <v/>
      </c>
    </row>
    <row r="208">
      <c r="H208" t="inlineStr">
        <is>
          <t>c:/users/omer/rl-qecc-data/2026-07-27_21-48-47_1172914</t>
        </is>
      </c>
      <c r="I208" t="n">
        <v>1732050</v>
      </c>
      <c r="J208" t="inlineStr">
        <is>
          <t>9,6</t>
        </is>
      </c>
      <c r="K208" t="n">
        <v>8</v>
      </c>
      <c r="M208" t="inlineStr">
        <is>
          <t>hybrid</t>
        </is>
      </c>
      <c r="N208" t="inlineStr">
        <is>
          <t>Yes</t>
        </is>
      </c>
      <c r="O208" t="n">
        <v>0.1</v>
      </c>
      <c r="P208" t="n">
        <v>10</v>
      </c>
      <c r="Q208" t="inlineStr">
        <is>
          <t>2026-07-12_20-18-32/surrogate_6x6.pth</t>
        </is>
      </c>
      <c r="R208" t="n">
        <v>0.003</v>
      </c>
      <c r="S208" t="inlineStr">
        <is>
          <t>Done</t>
        </is>
      </c>
      <c r="V208">
        <f>HYPERLINK("c:\users\omer\rl-qecc-data\2026-07-27_21-48-47_1172914\postProcessing.png","plot")</f>
        <v/>
      </c>
      <c r="W208">
        <f>HYPERLINK("c:\users\omer\rl-qecc-data\2026-07-27_21-48-47_1172914\search_9_6_seed_1732050_experiment.txt","experiment.txt")</f>
        <v/>
      </c>
    </row>
    <row r="209">
      <c r="H209" t="inlineStr">
        <is>
          <t>c:/users/omer/rl-qecc-data/2026-07-27_21-48-51_1172941</t>
        </is>
      </c>
      <c r="I209" t="n">
        <v>2236067</v>
      </c>
      <c r="J209" t="inlineStr">
        <is>
          <t>9,6</t>
        </is>
      </c>
      <c r="K209" t="n">
        <v>8</v>
      </c>
      <c r="M209" t="inlineStr">
        <is>
          <t>hybrid</t>
        </is>
      </c>
      <c r="N209" t="inlineStr">
        <is>
          <t>Yes</t>
        </is>
      </c>
      <c r="O209" t="n">
        <v>0.1</v>
      </c>
      <c r="P209" t="n">
        <v>10</v>
      </c>
      <c r="Q209" t="inlineStr">
        <is>
          <t>2026-07-12_20-18-32/surrogate_6x6.pth</t>
        </is>
      </c>
      <c r="R209" t="n">
        <v>0.003</v>
      </c>
      <c r="S209" t="inlineStr">
        <is>
          <t>Done</t>
        </is>
      </c>
      <c r="V209">
        <f>HYPERLINK("c:\users\omer\rl-qecc-data\2026-07-27_21-48-51_1172941\postProcessing.png","plot")</f>
        <v/>
      </c>
      <c r="W209">
        <f>HYPERLINK("c:\users\omer\rl-qecc-data\2026-07-27_21-48-51_1172941\search_9_6_seed_2236067_experiment.txt","experiment.txt")</f>
        <v/>
      </c>
    </row>
    <row r="210">
      <c r="H210" t="inlineStr">
        <is>
          <t>c:/users/omer/rl-qecc-data/2026-07-27_21-48-54_1173000</t>
        </is>
      </c>
      <c r="I210" t="n">
        <v>2645751</v>
      </c>
      <c r="J210" t="inlineStr">
        <is>
          <t>9,6</t>
        </is>
      </c>
      <c r="K210" t="n">
        <v>8</v>
      </c>
      <c r="M210" t="inlineStr">
        <is>
          <t>hybrid</t>
        </is>
      </c>
      <c r="N210" t="inlineStr">
        <is>
          <t>Yes</t>
        </is>
      </c>
      <c r="O210" t="n">
        <v>0.1</v>
      </c>
      <c r="P210" t="n">
        <v>10</v>
      </c>
      <c r="Q210" t="inlineStr">
        <is>
          <t>2026-07-12_20-18-32/surrogate_6x6.pth</t>
        </is>
      </c>
      <c r="R210" t="n">
        <v>0.003</v>
      </c>
      <c r="S210" t="inlineStr">
        <is>
          <t>Done</t>
        </is>
      </c>
      <c r="V210">
        <f>HYPERLINK("c:\users\omer\rl-qecc-data\2026-07-27_21-48-54_1173000\postProcessing.png","plot")</f>
        <v/>
      </c>
      <c r="W210">
        <f>HYPERLINK("c:\users\omer\rl-qecc-data\2026-07-27_21-48-54_1173000\search_9_6_seed_2645751_experiment.txt","experiment.txt")</f>
        <v/>
      </c>
    </row>
    <row r="211">
      <c r="H211" t="inlineStr">
        <is>
          <t>c:/users/omer/rl-qecc-data/2026-07-27_21-48-56_1173035</t>
        </is>
      </c>
      <c r="I211" t="n">
        <v>3316624</v>
      </c>
      <c r="J211" t="inlineStr">
        <is>
          <t>9,6</t>
        </is>
      </c>
      <c r="K211" t="n">
        <v>8</v>
      </c>
      <c r="M211" t="inlineStr">
        <is>
          <t>hybrid</t>
        </is>
      </c>
      <c r="N211" t="inlineStr">
        <is>
          <t>Yes</t>
        </is>
      </c>
      <c r="O211" t="n">
        <v>0.1</v>
      </c>
      <c r="P211" t="n">
        <v>10</v>
      </c>
      <c r="Q211" t="inlineStr">
        <is>
          <t>2026-07-12_20-18-32/surrogate_6x6.pth</t>
        </is>
      </c>
      <c r="R211" t="n">
        <v>0.003</v>
      </c>
      <c r="S211" t="inlineStr">
        <is>
          <t>Done</t>
        </is>
      </c>
      <c r="V211">
        <f>HYPERLINK("c:\users\omer\rl-qecc-data\2026-07-27_21-48-56_1173035\postProcessing.png","plot")</f>
        <v/>
      </c>
      <c r="W211">
        <f>HYPERLINK("c:\users\omer\rl-qecc-data\2026-07-27_21-48-56_1173035\search_9_6_seed_3316624_experiment.txt","experiment.txt")</f>
        <v/>
      </c>
    </row>
    <row r="212">
      <c r="H212" t="inlineStr">
        <is>
          <t>c:/users/omer/rl-qecc-data/2026-07-27_21-48-59_1173071</t>
        </is>
      </c>
      <c r="I212" t="n">
        <v>1234567</v>
      </c>
      <c r="J212" t="inlineStr">
        <is>
          <t>9,6</t>
        </is>
      </c>
      <c r="K212" t="n">
        <v>8</v>
      </c>
      <c r="M212" t="inlineStr">
        <is>
          <t>hybrid</t>
        </is>
      </c>
      <c r="N212" t="inlineStr">
        <is>
          <t>Yes</t>
        </is>
      </c>
      <c r="O212" t="n">
        <v>0.1</v>
      </c>
      <c r="P212" t="n">
        <v>10</v>
      </c>
      <c r="Q212" t="inlineStr">
        <is>
          <t>2026-07-12_20-18-32/surrogate_6x6.pth</t>
        </is>
      </c>
      <c r="R212" t="n">
        <v>0.003</v>
      </c>
      <c r="S212" t="inlineStr">
        <is>
          <t>Done</t>
        </is>
      </c>
      <c r="V212">
        <f>HYPERLINK("c:\users\omer\rl-qecc-data\2026-07-27_21-48-59_1173071\postProcessing.png","plot")</f>
        <v/>
      </c>
      <c r="W212">
        <f>HYPERLINK("c:\users\omer\rl-qecc-data\2026-07-27_21-48-59_1173071\search_9_6_seed_1234567_experiment.txt","experiment.txt")</f>
        <v/>
      </c>
    </row>
    <row r="213">
      <c r="H213" t="inlineStr">
        <is>
          <t>c:/users/omer/rl-qecc-data/2026-07-27_21-49-02_1173109</t>
        </is>
      </c>
      <c r="I213" t="n">
        <v>7654321</v>
      </c>
      <c r="J213" t="inlineStr">
        <is>
          <t>9,6</t>
        </is>
      </c>
      <c r="K213" t="n">
        <v>8</v>
      </c>
      <c r="M213" t="inlineStr">
        <is>
          <t>hybrid</t>
        </is>
      </c>
      <c r="N213" t="inlineStr">
        <is>
          <t>Yes</t>
        </is>
      </c>
      <c r="O213" t="n">
        <v>0.1</v>
      </c>
      <c r="P213" t="n">
        <v>10</v>
      </c>
      <c r="Q213" t="inlineStr">
        <is>
          <t>2026-07-12_20-18-32/surrogate_6x6.pth</t>
        </is>
      </c>
      <c r="R213" t="n">
        <v>0.003</v>
      </c>
      <c r="S213" t="inlineStr">
        <is>
          <t>Done</t>
        </is>
      </c>
      <c r="V213">
        <f>HYPERLINK("c:\users\omer\rl-qecc-data\2026-07-27_21-49-02_1173109\postProcessing.png","plot")</f>
        <v/>
      </c>
      <c r="W213">
        <f>HYPERLINK("c:\users\omer\rl-qecc-data\2026-07-27_21-49-02_1173109\search_9_6_seed_7654321_experiment.txt","experiment.txt")</f>
        <v/>
      </c>
    </row>
    <row r="214">
      <c r="H214" t="inlineStr">
        <is>
          <t>c:/users/omer/rl-qecc-data/2026-07-27_21-49-05_1173144</t>
        </is>
      </c>
      <c r="I214" t="n">
        <v>9876543</v>
      </c>
      <c r="J214" t="inlineStr">
        <is>
          <t>9,6</t>
        </is>
      </c>
      <c r="K214" t="n">
        <v>8</v>
      </c>
      <c r="M214" t="inlineStr">
        <is>
          <t>hybrid</t>
        </is>
      </c>
      <c r="N214" t="inlineStr">
        <is>
          <t>Yes</t>
        </is>
      </c>
      <c r="O214" t="n">
        <v>0.1</v>
      </c>
      <c r="P214" t="n">
        <v>10</v>
      </c>
      <c r="Q214" t="inlineStr">
        <is>
          <t>2026-07-12_20-18-32/surrogate_6x6.pth</t>
        </is>
      </c>
      <c r="R214" t="n">
        <v>0.003</v>
      </c>
      <c r="S214" t="inlineStr">
        <is>
          <t>Done</t>
        </is>
      </c>
      <c r="V214">
        <f>HYPERLINK("c:\users\omer\rl-qecc-data\2026-07-27_21-49-05_1173144\postProcessing.png","plot")</f>
        <v/>
      </c>
      <c r="W214">
        <f>HYPERLINK("c:\users\omer\rl-qecc-data\2026-07-27_21-49-05_1173144\search_9_6_seed_9876543_experiment.txt","experiment.txt")</f>
        <v/>
      </c>
    </row>
    <row r="215">
      <c r="H215" t="inlineStr">
        <is>
          <t>c:/users/omer/rl-qecc-data/2026-07-27_21-49-09_1173179</t>
        </is>
      </c>
      <c r="I215" t="n">
        <v>1111111</v>
      </c>
      <c r="J215" t="inlineStr">
        <is>
          <t>9,6</t>
        </is>
      </c>
      <c r="K215" t="n">
        <v>8</v>
      </c>
      <c r="M215" t="inlineStr">
        <is>
          <t>hybrid</t>
        </is>
      </c>
      <c r="N215" t="inlineStr">
        <is>
          <t>Yes</t>
        </is>
      </c>
      <c r="O215" t="n">
        <v>0.1</v>
      </c>
      <c r="P215" t="n">
        <v>10</v>
      </c>
      <c r="Q215" t="inlineStr">
        <is>
          <t>2026-07-12_20-18-32/surrogate_6x6.pth</t>
        </is>
      </c>
      <c r="R215" t="n">
        <v>0.003</v>
      </c>
      <c r="S215" t="inlineStr">
        <is>
          <t>Done</t>
        </is>
      </c>
      <c r="V215">
        <f>HYPERLINK("c:\users\omer\rl-qecc-data\2026-07-27_21-49-09_1173179\postProcessing.png","plot")</f>
        <v/>
      </c>
      <c r="W215">
        <f>HYPERLINK("c:\users\omer\rl-qecc-data\2026-07-27_21-49-09_1173179\search_9_6_seed_1111111_experiment.txt","experiment.txt")</f>
        <v/>
      </c>
    </row>
    <row r="216">
      <c r="H216" t="inlineStr">
        <is>
          <t>c:/users/omer/rl-qecc-data/2026-07-27_21-50-10_734813</t>
        </is>
      </c>
      <c r="I216" t="n">
        <v>3141592</v>
      </c>
      <c r="J216" t="inlineStr">
        <is>
          <t>9,6</t>
        </is>
      </c>
      <c r="K216" t="n">
        <v>8</v>
      </c>
      <c r="M216" t="inlineStr">
        <is>
          <t>hybrid</t>
        </is>
      </c>
      <c r="N216" t="inlineStr">
        <is>
          <t>Yes</t>
        </is>
      </c>
      <c r="O216" t="n">
        <v>0.1</v>
      </c>
      <c r="P216" t="n">
        <v>10</v>
      </c>
      <c r="Q216" t="inlineStr">
        <is>
          <t>2026-07-12_21-15-58/surrogate_6x6.pth</t>
        </is>
      </c>
      <c r="R216" t="n">
        <v>0.003</v>
      </c>
      <c r="S216" t="inlineStr">
        <is>
          <t>Done</t>
        </is>
      </c>
      <c r="V216">
        <f>HYPERLINK("c:\users\omer\rl-qecc-data\2026-07-27_21-50-10_734813\postProcessing.png","plot")</f>
        <v/>
      </c>
      <c r="W216">
        <f>HYPERLINK("c:\users\omer\rl-qecc-data\2026-07-27_21-50-10_734813\search_9_6_seed_3141592_experiment.txt","experiment.txt")</f>
        <v/>
      </c>
    </row>
    <row r="217">
      <c r="H217" t="inlineStr">
        <is>
          <t>c:/users/omer/rl-qecc-data/2026-07-27_21-50-10_734850</t>
        </is>
      </c>
      <c r="I217" t="n">
        <v>2718281</v>
      </c>
      <c r="J217" t="inlineStr">
        <is>
          <t>9,6</t>
        </is>
      </c>
      <c r="K217" t="n">
        <v>8</v>
      </c>
      <c r="M217" t="inlineStr">
        <is>
          <t>hybrid</t>
        </is>
      </c>
      <c r="N217" t="inlineStr">
        <is>
          <t>Yes</t>
        </is>
      </c>
      <c r="O217" t="n">
        <v>0.1</v>
      </c>
      <c r="P217" t="n">
        <v>10</v>
      </c>
      <c r="Q217" t="inlineStr">
        <is>
          <t>2026-07-12_21-15-58/surrogate_6x6.pth</t>
        </is>
      </c>
      <c r="R217" t="n">
        <v>0.003</v>
      </c>
      <c r="S217" t="inlineStr">
        <is>
          <t>Done</t>
        </is>
      </c>
      <c r="V217">
        <f>HYPERLINK("c:\users\omer\rl-qecc-data\2026-07-27_21-50-10_734850\postProcessing.png","plot")</f>
        <v/>
      </c>
      <c r="W217">
        <f>HYPERLINK("c:\users\omer\rl-qecc-data\2026-07-27_21-50-10_734850\search_9_6_seed_2718281_experiment.txt","experiment.txt")</f>
        <v/>
      </c>
    </row>
    <row r="218">
      <c r="H218" t="inlineStr">
        <is>
          <t>c:/users/omer/rl-qecc-data/2026-07-27_21-50-10_734883</t>
        </is>
      </c>
      <c r="I218" t="n">
        <v>1618033</v>
      </c>
      <c r="J218" t="inlineStr">
        <is>
          <t>9,6</t>
        </is>
      </c>
      <c r="K218" t="n">
        <v>8</v>
      </c>
      <c r="M218" t="inlineStr">
        <is>
          <t>hybrid</t>
        </is>
      </c>
      <c r="N218" t="inlineStr">
        <is>
          <t>Yes</t>
        </is>
      </c>
      <c r="O218" t="n">
        <v>0.1</v>
      </c>
      <c r="P218" t="n">
        <v>10</v>
      </c>
      <c r="Q218" t="inlineStr">
        <is>
          <t>2026-07-12_21-15-58/surrogate_6x6.pth</t>
        </is>
      </c>
      <c r="R218" t="n">
        <v>0.003</v>
      </c>
      <c r="S218" t="inlineStr">
        <is>
          <t>Done</t>
        </is>
      </c>
      <c r="V218">
        <f>HYPERLINK("c:\users\omer\rl-qecc-data\2026-07-27_21-50-10_734883\postProcessing.png","plot")</f>
        <v/>
      </c>
      <c r="W218">
        <f>HYPERLINK("c:\users\omer\rl-qecc-data\2026-07-27_21-50-10_734883\search_9_6_seed_1618033_experiment.txt","experiment.txt")</f>
        <v/>
      </c>
    </row>
    <row r="219">
      <c r="H219" t="inlineStr">
        <is>
          <t>c:/users/omer/rl-qecc-data/2026-07-27_21-50-13_734914</t>
        </is>
      </c>
      <c r="I219" t="n">
        <v>1414213</v>
      </c>
      <c r="J219" t="inlineStr">
        <is>
          <t>9,6</t>
        </is>
      </c>
      <c r="K219" t="n">
        <v>8</v>
      </c>
      <c r="M219" t="inlineStr">
        <is>
          <t>hybrid</t>
        </is>
      </c>
      <c r="N219" t="inlineStr">
        <is>
          <t>Yes</t>
        </is>
      </c>
      <c r="O219" t="n">
        <v>0.1</v>
      </c>
      <c r="P219" t="n">
        <v>10</v>
      </c>
      <c r="Q219" t="inlineStr">
        <is>
          <t>2026-07-12_21-15-58/surrogate_6x6.pth</t>
        </is>
      </c>
      <c r="R219" t="n">
        <v>0.003</v>
      </c>
      <c r="S219" t="inlineStr">
        <is>
          <t>Done</t>
        </is>
      </c>
      <c r="V219">
        <f>HYPERLINK("c:\users\omer\rl-qecc-data\2026-07-27_21-50-13_734914\postProcessing.png","plot")</f>
        <v/>
      </c>
      <c r="W219">
        <f>HYPERLINK("c:\users\omer\rl-qecc-data\2026-07-27_21-50-13_734914\search_9_6_seed_1414213_experiment.txt","experiment.txt")</f>
        <v/>
      </c>
    </row>
    <row r="220">
      <c r="H220" t="inlineStr">
        <is>
          <t>c:/users/omer/rl-qecc-data/2026-07-27_21-50-16_734943</t>
        </is>
      </c>
      <c r="I220" t="n">
        <v>1732050</v>
      </c>
      <c r="J220" t="inlineStr">
        <is>
          <t>9,6</t>
        </is>
      </c>
      <c r="K220" t="n">
        <v>8</v>
      </c>
      <c r="M220" t="inlineStr">
        <is>
          <t>hybrid</t>
        </is>
      </c>
      <c r="N220" t="inlineStr">
        <is>
          <t>Yes</t>
        </is>
      </c>
      <c r="O220" t="n">
        <v>0.1</v>
      </c>
      <c r="P220" t="n">
        <v>10</v>
      </c>
      <c r="Q220" t="inlineStr">
        <is>
          <t>2026-07-12_21-15-58/surrogate_6x6.pth</t>
        </is>
      </c>
      <c r="R220" t="n">
        <v>0.003</v>
      </c>
      <c r="S220" t="inlineStr">
        <is>
          <t>Done</t>
        </is>
      </c>
      <c r="V220">
        <f>HYPERLINK("c:\users\omer\rl-qecc-data\2026-07-27_21-50-16_734943\postProcessing.png","plot")</f>
        <v/>
      </c>
      <c r="W220">
        <f>HYPERLINK("c:\users\omer\rl-qecc-data\2026-07-27_21-50-16_734943\search_9_6_seed_1732050_experiment.txt","experiment.txt")</f>
        <v/>
      </c>
    </row>
    <row r="221">
      <c r="H221" t="inlineStr">
        <is>
          <t>c:/users/omer/rl-qecc-data/2026-07-27_21-50-20_734978</t>
        </is>
      </c>
      <c r="I221" t="n">
        <v>2236067</v>
      </c>
      <c r="J221" t="inlineStr">
        <is>
          <t>9,6</t>
        </is>
      </c>
      <c r="K221" t="n">
        <v>8</v>
      </c>
      <c r="M221" t="inlineStr">
        <is>
          <t>hybrid</t>
        </is>
      </c>
      <c r="N221" t="inlineStr">
        <is>
          <t>Yes</t>
        </is>
      </c>
      <c r="O221" t="n">
        <v>0.1</v>
      </c>
      <c r="P221" t="n">
        <v>10</v>
      </c>
      <c r="Q221" t="inlineStr">
        <is>
          <t>2026-07-12_21-15-58/surrogate_6x6.pth</t>
        </is>
      </c>
      <c r="R221" t="n">
        <v>0.003</v>
      </c>
      <c r="S221" t="inlineStr">
        <is>
          <t>Done</t>
        </is>
      </c>
      <c r="V221">
        <f>HYPERLINK("c:\users\omer\rl-qecc-data\2026-07-27_21-50-20_734978\postProcessing.png","plot")</f>
        <v/>
      </c>
      <c r="W221">
        <f>HYPERLINK("c:\users\omer\rl-qecc-data\2026-07-27_21-50-20_734978\search_9_6_seed_2236067_experiment.txt","experiment.txt")</f>
        <v/>
      </c>
    </row>
    <row r="222">
      <c r="H222" t="inlineStr">
        <is>
          <t>c:/users/omer/rl-qecc-data/2026-07-27_21-50-23_735045</t>
        </is>
      </c>
      <c r="I222" t="n">
        <v>2645751</v>
      </c>
      <c r="J222" t="inlineStr">
        <is>
          <t>9,6</t>
        </is>
      </c>
      <c r="K222" t="n">
        <v>8</v>
      </c>
      <c r="M222" t="inlineStr">
        <is>
          <t>hybrid</t>
        </is>
      </c>
      <c r="N222" t="inlineStr">
        <is>
          <t>Yes</t>
        </is>
      </c>
      <c r="O222" t="n">
        <v>0.1</v>
      </c>
      <c r="P222" t="n">
        <v>10</v>
      </c>
      <c r="Q222" t="inlineStr">
        <is>
          <t>2026-07-12_21-15-58/surrogate_6x6.pth</t>
        </is>
      </c>
      <c r="R222" t="n">
        <v>0.003</v>
      </c>
      <c r="S222" t="inlineStr">
        <is>
          <t>Done</t>
        </is>
      </c>
      <c r="V222">
        <f>HYPERLINK("c:\users\omer\rl-qecc-data\2026-07-27_21-50-23_735045\postProcessing.png","plot")</f>
        <v/>
      </c>
      <c r="W222">
        <f>HYPERLINK("c:\users\omer\rl-qecc-data\2026-07-27_21-50-23_735045\search_9_6_seed_2645751_experiment.txt","experiment.txt")</f>
        <v/>
      </c>
    </row>
    <row r="223">
      <c r="H223" t="inlineStr">
        <is>
          <t>c:/users/omer/rl-qecc-data/2026-07-27_21-50-26_735091</t>
        </is>
      </c>
      <c r="I223" t="n">
        <v>3316624</v>
      </c>
      <c r="J223" t="inlineStr">
        <is>
          <t>9,6</t>
        </is>
      </c>
      <c r="K223" t="n">
        <v>8</v>
      </c>
      <c r="M223" t="inlineStr">
        <is>
          <t>hybrid</t>
        </is>
      </c>
      <c r="N223" t="inlineStr">
        <is>
          <t>Yes</t>
        </is>
      </c>
      <c r="O223" t="n">
        <v>0.1</v>
      </c>
      <c r="P223" t="n">
        <v>10</v>
      </c>
      <c r="Q223" t="inlineStr">
        <is>
          <t>2026-07-12_21-15-58/surrogate_6x6.pth</t>
        </is>
      </c>
      <c r="R223" t="n">
        <v>0.003</v>
      </c>
      <c r="S223" t="inlineStr">
        <is>
          <t>Done</t>
        </is>
      </c>
      <c r="V223">
        <f>HYPERLINK("c:\users\omer\rl-qecc-data\2026-07-27_21-50-26_735091\postProcessing.png","plot")</f>
        <v/>
      </c>
      <c r="W223">
        <f>HYPERLINK("c:\users\omer\rl-qecc-data\2026-07-27_21-50-26_735091\search_9_6_seed_3316624_experiment.txt","experiment.txt")</f>
        <v/>
      </c>
    </row>
    <row r="224">
      <c r="H224" t="inlineStr">
        <is>
          <t>c:/users/omer/rl-qecc-data/2026-07-27_21-50-28_735131</t>
        </is>
      </c>
      <c r="I224" t="n">
        <v>1234567</v>
      </c>
      <c r="J224" t="inlineStr">
        <is>
          <t>9,6</t>
        </is>
      </c>
      <c r="K224" t="n">
        <v>8</v>
      </c>
      <c r="M224" t="inlineStr">
        <is>
          <t>hybrid</t>
        </is>
      </c>
      <c r="N224" t="inlineStr">
        <is>
          <t>Yes</t>
        </is>
      </c>
      <c r="O224" t="n">
        <v>0.1</v>
      </c>
      <c r="P224" t="n">
        <v>10</v>
      </c>
      <c r="Q224" t="inlineStr">
        <is>
          <t>2026-07-12_21-15-58/surrogate_6x6.pth</t>
        </is>
      </c>
      <c r="R224" t="n">
        <v>0.003</v>
      </c>
      <c r="S224" t="inlineStr">
        <is>
          <t>Done</t>
        </is>
      </c>
      <c r="V224">
        <f>HYPERLINK("c:\users\omer\rl-qecc-data\2026-07-27_21-50-28_735131\postProcessing.png","plot")</f>
        <v/>
      </c>
      <c r="W224">
        <f>HYPERLINK("c:\users\omer\rl-qecc-data\2026-07-27_21-50-28_735131\search_9_6_seed_1234567_experiment.txt","experiment.txt")</f>
        <v/>
      </c>
    </row>
    <row r="225">
      <c r="H225" t="inlineStr">
        <is>
          <t>c:/users/omer/rl-qecc-data/2026-07-27_21-50-32_735172</t>
        </is>
      </c>
      <c r="I225" t="n">
        <v>7654321</v>
      </c>
      <c r="J225" t="inlineStr">
        <is>
          <t>9,6</t>
        </is>
      </c>
      <c r="K225" t="n">
        <v>8</v>
      </c>
      <c r="M225" t="inlineStr">
        <is>
          <t>hybrid</t>
        </is>
      </c>
      <c r="N225" t="inlineStr">
        <is>
          <t>Yes</t>
        </is>
      </c>
      <c r="O225" t="n">
        <v>0.1</v>
      </c>
      <c r="P225" t="n">
        <v>10</v>
      </c>
      <c r="Q225" t="inlineStr">
        <is>
          <t>2026-07-12_21-15-58/surrogate_6x6.pth</t>
        </is>
      </c>
      <c r="R225" t="n">
        <v>0.003</v>
      </c>
      <c r="S225" t="inlineStr">
        <is>
          <t>Done</t>
        </is>
      </c>
      <c r="V225">
        <f>HYPERLINK("c:\users\omer\rl-qecc-data\2026-07-27_21-50-32_735172\postProcessing.png","plot")</f>
        <v/>
      </c>
      <c r="W225">
        <f>HYPERLINK("c:\users\omer\rl-qecc-data\2026-07-27_21-50-32_735172\search_9_6_seed_7654321_experiment.txt","experiment.txt")</f>
        <v/>
      </c>
    </row>
    <row r="226">
      <c r="H226" t="inlineStr">
        <is>
          <t>c:/users/omer/rl-qecc-data/2026-07-27_21-50-34_735210</t>
        </is>
      </c>
      <c r="I226" t="n">
        <v>9876543</v>
      </c>
      <c r="J226" t="inlineStr">
        <is>
          <t>9,6</t>
        </is>
      </c>
      <c r="K226" t="n">
        <v>8</v>
      </c>
      <c r="M226" t="inlineStr">
        <is>
          <t>hybrid</t>
        </is>
      </c>
      <c r="N226" t="inlineStr">
        <is>
          <t>Yes</t>
        </is>
      </c>
      <c r="O226" t="n">
        <v>0.1</v>
      </c>
      <c r="P226" t="n">
        <v>10</v>
      </c>
      <c r="Q226" t="inlineStr">
        <is>
          <t>2026-07-12_21-15-58/surrogate_6x6.pth</t>
        </is>
      </c>
      <c r="R226" t="n">
        <v>0.003</v>
      </c>
      <c r="S226" t="inlineStr">
        <is>
          <t>Done</t>
        </is>
      </c>
      <c r="V226">
        <f>HYPERLINK("c:\users\omer\rl-qecc-data\2026-07-27_21-50-34_735210\postProcessing.png","plot")</f>
        <v/>
      </c>
      <c r="W226">
        <f>HYPERLINK("c:\users\omer\rl-qecc-data\2026-07-27_21-50-34_735210\search_9_6_seed_9876543_experiment.txt","experiment.txt")</f>
        <v/>
      </c>
    </row>
    <row r="227">
      <c r="H227" t="inlineStr">
        <is>
          <t>c:/users/omer/rl-qecc-data/truncated_matrixA\2026-07-23_16-39-33_352442</t>
        </is>
      </c>
      <c r="I227" t="n">
        <v>2002</v>
      </c>
      <c r="J227" t="inlineStr">
        <is>
          <t>6,6</t>
        </is>
      </c>
      <c r="K227" t="n">
        <v>12</v>
      </c>
      <c r="M227" t="inlineStr">
        <is>
          <t>hybrid</t>
        </is>
      </c>
      <c r="N227" t="inlineStr">
        <is>
          <t>Yes</t>
        </is>
      </c>
      <c r="O227" t="n">
        <v>0.1</v>
      </c>
      <c r="P227" t="n">
        <v>500</v>
      </c>
      <c r="Q227" t="inlineStr">
        <is>
          <t>2026-07-12_21-15-58/surrogate_6x6.pth</t>
        </is>
      </c>
      <c r="R227" t="n">
        <v>0.003</v>
      </c>
      <c r="S227" t="inlineStr">
        <is>
          <t>Done</t>
        </is>
      </c>
      <c r="V227">
        <f>HYPERLINK("c:\users\omer\rl-qecc-data\truncated_matrixA\2026-07-23_16-39-33_352442\postProcessing.png","plot")</f>
        <v/>
      </c>
      <c r="W227">
        <f>HYPERLINK("c:\users\omer\rl-qecc-data\truncated_matrixA\2026-07-23_16-39-33_352442\experiment.txt","experiment.txt")</f>
        <v/>
      </c>
    </row>
    <row r="228">
      <c r="H228" t="inlineStr">
        <is>
          <t>c:/users/omer/rl-qecc-data/truncated_matrixA\2026-07-23_17-04-44_790643</t>
        </is>
      </c>
      <c r="I228" t="n">
        <v>3003</v>
      </c>
      <c r="J228" t="inlineStr">
        <is>
          <t>6,6</t>
        </is>
      </c>
      <c r="K228" t="n">
        <v>12</v>
      </c>
      <c r="M228" t="inlineStr">
        <is>
          <t>hybrid</t>
        </is>
      </c>
      <c r="N228" t="inlineStr">
        <is>
          <t>Yes</t>
        </is>
      </c>
      <c r="O228" t="n">
        <v>0.1</v>
      </c>
      <c r="P228" t="n">
        <v>500</v>
      </c>
      <c r="Q228" t="inlineStr">
        <is>
          <t>2026-07-12_21-15-58/surrogate_6x6.pth</t>
        </is>
      </c>
      <c r="R228" t="n">
        <v>0.003</v>
      </c>
      <c r="S228" t="inlineStr">
        <is>
          <t>Done</t>
        </is>
      </c>
      <c r="V228">
        <f>HYPERLINK("c:\users\omer\rl-qecc-data\truncated_matrixA\2026-07-23_17-04-44_790643\postProcessing.png","plot")</f>
        <v/>
      </c>
      <c r="W228">
        <f>HYPERLINK("c:\users\omer\rl-qecc-data\truncated_matrixA\2026-07-23_17-04-44_790643\experiment.txt","experiment.txt")</f>
        <v/>
      </c>
    </row>
    <row r="229">
      <c r="H229" t="inlineStr">
        <is>
          <t>c:/users/omer/rl-qecc-data/truncated_matrixA\2026-07-23_17-06-26_355068</t>
        </is>
      </c>
      <c r="I229" t="n">
        <v>4004</v>
      </c>
      <c r="J229" t="inlineStr">
        <is>
          <t>6,6</t>
        </is>
      </c>
      <c r="K229" t="n">
        <v>12</v>
      </c>
      <c r="M229" t="inlineStr">
        <is>
          <t>hybrid</t>
        </is>
      </c>
      <c r="N229" t="inlineStr">
        <is>
          <t>Yes</t>
        </is>
      </c>
      <c r="O229" t="n">
        <v>0.1</v>
      </c>
      <c r="P229" t="n">
        <v>500</v>
      </c>
      <c r="Q229" t="inlineStr">
        <is>
          <t>2026-07-12_21-15-58/surrogate_6x6.pth</t>
        </is>
      </c>
      <c r="R229" t="n">
        <v>0.003</v>
      </c>
      <c r="S229" t="inlineStr">
        <is>
          <t>Done</t>
        </is>
      </c>
      <c r="V229">
        <f>HYPERLINK("c:\users\omer\rl-qecc-data\truncated_matrixA\2026-07-23_17-06-26_355068\postProcessing.png","plot")</f>
        <v/>
      </c>
      <c r="W229">
        <f>HYPERLINK("c:\users\omer\rl-qecc-data\truncated_matrixA\2026-07-23_17-06-26_355068\experiment.txt","experiment.txt")</f>
        <v/>
      </c>
    </row>
    <row r="230">
      <c r="H230" t="inlineStr">
        <is>
          <t>c:/users/omer/rl-qecc-data/truncated_matrixA\2026-07-23_17-26-23_3831930</t>
        </is>
      </c>
      <c r="I230" t="n">
        <v>5005</v>
      </c>
      <c r="J230" t="inlineStr">
        <is>
          <t>6,6</t>
        </is>
      </c>
      <c r="K230" t="n">
        <v>12</v>
      </c>
      <c r="M230" t="inlineStr">
        <is>
          <t>hybrid</t>
        </is>
      </c>
      <c r="N230" t="inlineStr">
        <is>
          <t>Yes</t>
        </is>
      </c>
      <c r="O230" t="n">
        <v>0.1</v>
      </c>
      <c r="P230" t="n">
        <v>500</v>
      </c>
      <c r="Q230" t="inlineStr">
        <is>
          <t>2026-07-12_21-15-58/surrogate_6x6.pth</t>
        </is>
      </c>
      <c r="R230" t="n">
        <v>0.003</v>
      </c>
      <c r="S230" t="inlineStr">
        <is>
          <t>Done</t>
        </is>
      </c>
      <c r="V230">
        <f>HYPERLINK("c:\users\omer\rl-qecc-data\truncated_matrixA\2026-07-23_17-26-23_3831930\postProcessing.png","plot")</f>
        <v/>
      </c>
      <c r="W230">
        <f>HYPERLINK("c:\users\omer\rl-qecc-data\truncated_matrixA\2026-07-23_17-26-23_3831930\experiment.txt","experiment.txt")</f>
        <v/>
      </c>
    </row>
    <row r="231">
      <c r="H231" t="inlineStr">
        <is>
          <t>c:/users/omer/rl-qecc-data/truncated_matrixA\2026-07-23_17-30-12_792942</t>
        </is>
      </c>
      <c r="I231" t="n">
        <v>6006</v>
      </c>
      <c r="J231" t="inlineStr">
        <is>
          <t>6,6</t>
        </is>
      </c>
      <c r="K231" t="n">
        <v>12</v>
      </c>
      <c r="M231" t="inlineStr">
        <is>
          <t>hybrid</t>
        </is>
      </c>
      <c r="N231" t="inlineStr">
        <is>
          <t>Yes</t>
        </is>
      </c>
      <c r="O231" t="n">
        <v>0.1</v>
      </c>
      <c r="P231" t="n">
        <v>500</v>
      </c>
      <c r="Q231" t="inlineStr">
        <is>
          <t>2026-07-12_21-15-58/surrogate_6x6.pth</t>
        </is>
      </c>
      <c r="R231" t="n">
        <v>0.003</v>
      </c>
      <c r="S231" t="inlineStr">
        <is>
          <t>Done</t>
        </is>
      </c>
      <c r="V231">
        <f>HYPERLINK("c:\users\omer\rl-qecc-data\truncated_matrixA\2026-07-23_17-30-12_792942\postProcessing.png","plot")</f>
        <v/>
      </c>
      <c r="W231">
        <f>HYPERLINK("c:\users\omer\rl-qecc-data\truncated_matrixA\2026-07-23_17-30-12_792942\experiment.txt","experiment.txt")</f>
        <v/>
      </c>
    </row>
    <row r="232">
      <c r="H232" t="inlineStr">
        <is>
          <t>c:/users/omer/rl-qecc-data/truncated_matrixA\2026-07-23_17-38-01_3833038</t>
        </is>
      </c>
      <c r="I232" t="n">
        <v>1001</v>
      </c>
      <c r="J232" t="inlineStr">
        <is>
          <t>6,6</t>
        </is>
      </c>
      <c r="K232" t="n">
        <v>12</v>
      </c>
      <c r="M232" t="inlineStr">
        <is>
          <t>hybrid</t>
        </is>
      </c>
      <c r="N232" t="inlineStr">
        <is>
          <t>Yes</t>
        </is>
      </c>
      <c r="O232" t="n">
        <v>0.1</v>
      </c>
      <c r="P232" t="n">
        <v>0</v>
      </c>
      <c r="Q232" t="inlineStr">
        <is>
          <t>2026-07-12_21-15-58/surrogate_6x6.pth</t>
        </is>
      </c>
      <c r="R232" t="n">
        <v>0.003</v>
      </c>
      <c r="S232" t="inlineStr">
        <is>
          <t>Done</t>
        </is>
      </c>
      <c r="V232">
        <f>HYPERLINK("c:\users\omer\rl-qecc-data\truncated_matrixA\2026-07-23_17-38-01_3833038\postProcessing.png","plot")</f>
        <v/>
      </c>
      <c r="W232">
        <f>HYPERLINK("c:\users\omer\rl-qecc-data\truncated_matrixA\2026-07-23_17-38-01_3833038\experiment.txt","experiment.txt")</f>
        <v/>
      </c>
    </row>
    <row r="233">
      <c r="H233" t="inlineStr">
        <is>
          <t>c:/users/omer/rl-qecc-data/truncated_matrixA\2026-07-23_18-06-16_3835747</t>
        </is>
      </c>
      <c r="I233" t="n">
        <v>2002</v>
      </c>
      <c r="J233" t="inlineStr">
        <is>
          <t>6,6</t>
        </is>
      </c>
      <c r="K233" t="n">
        <v>12</v>
      </c>
      <c r="M233" t="inlineStr">
        <is>
          <t>hybrid</t>
        </is>
      </c>
      <c r="N233" t="inlineStr">
        <is>
          <t>Yes</t>
        </is>
      </c>
      <c r="O233" t="n">
        <v>0.1</v>
      </c>
      <c r="P233" t="n">
        <v>0</v>
      </c>
      <c r="Q233" t="inlineStr">
        <is>
          <t>2026-07-12_21-15-58/surrogate_6x6.pth</t>
        </is>
      </c>
      <c r="R233" t="n">
        <v>0.003</v>
      </c>
      <c r="S233" t="inlineStr">
        <is>
          <t>Done</t>
        </is>
      </c>
      <c r="V233">
        <f>HYPERLINK("c:\users\omer\rl-qecc-data\truncated_matrixA\2026-07-23_18-06-16_3835747\postProcessing.png","plot")</f>
        <v/>
      </c>
      <c r="W233">
        <f>HYPERLINK("c:\users\omer\rl-qecc-data\truncated_matrixA\2026-07-23_18-06-16_3835747\experiment.txt","experiment.txt")</f>
        <v/>
      </c>
    </row>
    <row r="234">
      <c r="H234" t="inlineStr">
        <is>
          <t>c:/users/omer/rl-qecc-data/truncated_matrixA\2026-07-23_22-38-48_814037</t>
        </is>
      </c>
      <c r="I234" t="n">
        <v>3003</v>
      </c>
      <c r="J234" t="inlineStr">
        <is>
          <t>6,6</t>
        </is>
      </c>
      <c r="K234" t="n">
        <v>12</v>
      </c>
      <c r="M234" t="inlineStr">
        <is>
          <t>hybrid</t>
        </is>
      </c>
      <c r="N234" t="inlineStr">
        <is>
          <t>Yes</t>
        </is>
      </c>
      <c r="O234" t="n">
        <v>0.1</v>
      </c>
      <c r="P234" t="n">
        <v>0</v>
      </c>
      <c r="Q234" t="inlineStr">
        <is>
          <t>2026-07-12_21-15-58/surrogate_6x6.pth</t>
        </is>
      </c>
      <c r="R234" t="n">
        <v>0.003</v>
      </c>
      <c r="S234" t="inlineStr">
        <is>
          <t>Done</t>
        </is>
      </c>
      <c r="V234">
        <f>HYPERLINK("c:\users\omer\rl-qecc-data\truncated_matrixA\2026-07-23_22-38-48_814037\postProcessing.png","plot")</f>
        <v/>
      </c>
      <c r="W234">
        <f>HYPERLINK("c:\users\omer\rl-qecc-data\truncated_matrixA\2026-07-23_22-38-48_814037\experiment.txt","experiment.txt")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Omer Sella</dc:creator>
  <dcterms:created xsi:type="dcterms:W3CDTF">2026-07-14T21:04:19Z</dcterms:created>
  <dcterms:modified xsi:type="dcterms:W3CDTF">2026-08-08T15:51:04Z</dcterms:modified>
  <cp:lastModifiedBy>Omer Sella</cp:lastModifiedBy>
</cp:coreProperties>
</file>